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OBAL VARIBLES" sheetId="1" r:id="rId5"/>
    <sheet state="visible" name="FRONT SUSPENSION (MM)" sheetId="2" r:id="rId6"/>
    <sheet state="visible" name="FRONT SUSPENSION (IN)" sheetId="3" r:id="rId7"/>
    <sheet state="visible" name="REAR SUSPENSION (mm)" sheetId="4" r:id="rId8"/>
    <sheet state="visible" name="REAR SUSPENSION (in)" sheetId="5" r:id="rId9"/>
    <sheet state="visible" name="ACKERMANN THROUGH STEERING RACK" sheetId="6" r:id="rId10"/>
    <sheet state="visible" name="TOE ANGLE THROUGH TRAVEL" sheetId="7" r:id="rId11"/>
    <sheet state="visible" name="STEERING ANGLE THROUGHT STEERIN" sheetId="8" r:id="rId12"/>
  </sheets>
  <definedNames/>
  <calcPr/>
</workbook>
</file>

<file path=xl/sharedStrings.xml><?xml version="1.0" encoding="utf-8"?>
<sst xmlns="http://schemas.openxmlformats.org/spreadsheetml/2006/main" count="103" uniqueCount="72">
  <si>
    <t>(#)</t>
  </si>
  <si>
    <t>Variable</t>
  </si>
  <si>
    <t>HARD POINT LOCATION</t>
  </si>
  <si>
    <t>X (mm)</t>
  </si>
  <si>
    <t>X (in)</t>
  </si>
  <si>
    <t>Y (mm)</t>
  </si>
  <si>
    <t>Y (in)</t>
  </si>
  <si>
    <t>Z (mm)</t>
  </si>
  <si>
    <t>Z (in)</t>
  </si>
  <si>
    <t>Value</t>
  </si>
  <si>
    <t>Bump Travel (mm)</t>
  </si>
  <si>
    <t>Lower Wishbone Front Pivot</t>
  </si>
  <si>
    <t>Lower Wishbone Rear Pivot</t>
  </si>
  <si>
    <t>Rebound Travel (mm)</t>
  </si>
  <si>
    <t>Bump Rebound Increment (mm)</t>
  </si>
  <si>
    <t>Lower Wishbone Outer Ball Joint</t>
  </si>
  <si>
    <t>Roll Angle (deg)</t>
  </si>
  <si>
    <t>Upper Wishbone Front Pivot</t>
  </si>
  <si>
    <t>Roll Increment (deg)</t>
  </si>
  <si>
    <t>Upper Wishbone Rear Pivot</t>
  </si>
  <si>
    <t>Steer Travel (mm)</t>
  </si>
  <si>
    <t>Upper Wishbone Outer Ball Joint</t>
  </si>
  <si>
    <t>Steer Increment (mm)</t>
  </si>
  <si>
    <t>Damper Wishbone End</t>
  </si>
  <si>
    <t>Wheelbase (mm)</t>
  </si>
  <si>
    <t>Damper Body End</t>
  </si>
  <si>
    <t>Total Mass C of G Height (mm)</t>
  </si>
  <si>
    <t>Outer Track Rod Ball Joint</t>
  </si>
  <si>
    <t>Braking Front (%)</t>
  </si>
  <si>
    <t>Lower Wish Front Pivot</t>
  </si>
  <si>
    <t>Inner Track Rod Ball Joint</t>
  </si>
  <si>
    <t>Drive Front (%)</t>
  </si>
  <si>
    <t>Upper Spring Pivot Point</t>
  </si>
  <si>
    <t>Total Mass Front (%)</t>
  </si>
  <si>
    <t>Lower Spring Pivot Point</t>
  </si>
  <si>
    <t>Front Brake Type</t>
  </si>
  <si>
    <t>Wheel Spindle Point</t>
  </si>
  <si>
    <t>Wheel Center Point</t>
  </si>
  <si>
    <t>Rear Brake Type</t>
  </si>
  <si>
    <t>Lower Wishbone CG</t>
  </si>
  <si>
    <t>Total Mass (kg)</t>
  </si>
  <si>
    <t>Upper Wishbone CG</t>
  </si>
  <si>
    <t>Front Type</t>
  </si>
  <si>
    <t>Knuckle CG</t>
  </si>
  <si>
    <t>Rear Type</t>
  </si>
  <si>
    <t>Tie-Rod CG</t>
  </si>
  <si>
    <t>Drive Shaft Joint Radius (mm)</t>
  </si>
  <si>
    <t>Lower Wish Rear Pivot</t>
  </si>
  <si>
    <t># Bump Increments</t>
  </si>
  <si>
    <t># Rebound Increments</t>
  </si>
  <si>
    <t># Roll Increments</t>
  </si>
  <si>
    <t># Steer Increments</t>
  </si>
  <si>
    <t>Lower With Upright Joint</t>
  </si>
  <si>
    <t>Unsprung Mass FL (kg)</t>
  </si>
  <si>
    <t>Unsprung Mass FR (kg)</t>
  </si>
  <si>
    <t>Upper Wish Front Pivot</t>
  </si>
  <si>
    <t>Upper Wish Rear Pivot</t>
  </si>
  <si>
    <t>Upper Wish Upright Joint</t>
  </si>
  <si>
    <t>Shock Mount Wishbone</t>
  </si>
  <si>
    <t>Shock Mount Body</t>
  </si>
  <si>
    <t>Toe Rod Outer Joint</t>
  </si>
  <si>
    <t>Unsprung Mass RL (kg)</t>
  </si>
  <si>
    <t>Unsprung Mass RR (kg)</t>
  </si>
  <si>
    <t>Toe Rod Inner Joint</t>
  </si>
  <si>
    <t>Upper Spring Pivot</t>
  </si>
  <si>
    <t>Lower Spring Pivot</t>
  </si>
  <si>
    <t>Toe Angle {SAE} (deg)</t>
  </si>
  <si>
    <t>X</t>
  </si>
  <si>
    <t>Front -ve Y</t>
  </si>
  <si>
    <t>Front +ve Y</t>
  </si>
  <si>
    <t>TOTAL CHANGE</t>
  </si>
  <si>
    <t>Ackermann 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</si>
</sst>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4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sz val="11.0"/>
      <color rgb="FF000000"/>
      <name val="&quot;Aptos Narrow&quot;"/>
    </font>
  </fonts>
  <fills count="14">
    <fill>
      <patternFill patternType="none"/>
    </fill>
    <fill>
      <patternFill patternType="lightGray"/>
    </fill>
    <fill>
      <patternFill patternType="solid">
        <fgColor rgb="FFCC338A"/>
        <bgColor rgb="FFCC338A"/>
      </patternFill>
    </fill>
    <fill>
      <patternFill patternType="solid">
        <fgColor rgb="FF000000"/>
        <bgColor rgb="FF000000"/>
      </patternFill>
    </fill>
    <fill>
      <patternFill patternType="solid">
        <fgColor rgb="FF990000"/>
        <bgColor rgb="FF990000"/>
      </patternFill>
    </fill>
    <fill>
      <patternFill patternType="solid">
        <fgColor theme="1"/>
        <bgColor theme="1"/>
      </patternFill>
    </fill>
    <fill>
      <patternFill patternType="solid">
        <fgColor rgb="FF6AA84F"/>
        <bgColor rgb="FF6AA84F"/>
      </patternFill>
    </fill>
    <fill>
      <patternFill patternType="solid">
        <fgColor rgb="FF1155CC"/>
        <bgColor rgb="FF1155CC"/>
      </patternFill>
    </fill>
    <fill>
      <patternFill patternType="solid">
        <fgColor rgb="FFD0A1BC"/>
        <bgColor rgb="FFD0A1BC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8" fontId="2" numFmtId="0" xfId="0" applyAlignment="1" applyFill="1" applyFont="1">
      <alignment readingOrder="0"/>
    </xf>
    <xf borderId="0" fillId="9" fontId="2" numFmtId="0" xfId="0" applyAlignment="1" applyFill="1" applyFont="1">
      <alignment readingOrder="0"/>
    </xf>
    <xf borderId="0" fillId="10" fontId="2" numFmtId="0" xfId="0" applyAlignment="1" applyFill="1" applyFont="1">
      <alignment readingOrder="0"/>
    </xf>
    <xf borderId="0" fillId="11" fontId="2" numFmtId="0" xfId="0" applyAlignment="1" applyFill="1" applyFont="1">
      <alignment readingOrder="0"/>
    </xf>
    <xf borderId="0" fillId="12" fontId="2" numFmtId="0" xfId="0" applyAlignment="1" applyFill="1" applyFont="1">
      <alignment readingOrder="0"/>
    </xf>
    <xf borderId="0" fillId="8" fontId="2" numFmtId="164" xfId="0" applyAlignment="1" applyFill="1" applyFont="1" applyNumberFormat="1">
      <alignment readingOrder="0"/>
    </xf>
    <xf borderId="0" fillId="13" fontId="2" numFmtId="0" xfId="0" applyAlignment="1" applyFill="1" applyFont="1">
      <alignment readingOrder="0"/>
    </xf>
    <xf borderId="0" fillId="11" fontId="2" numFmtId="164" xfId="0" applyAlignment="1" applyFill="1" applyFont="1" applyNumberFormat="1">
      <alignment readingOrder="0"/>
    </xf>
    <xf borderId="0" fillId="8" fontId="2" numFmtId="1" xfId="0" applyAlignment="1" applyFill="1" applyFont="1" applyNumberFormat="1">
      <alignment readingOrder="0"/>
    </xf>
    <xf borderId="0" fillId="12" fontId="2" numFmtId="164" xfId="0" applyAlignment="1" applyFill="1" applyFont="1" applyNumberFormat="1">
      <alignment readingOrder="0"/>
    </xf>
    <xf borderId="0" fillId="13" fontId="2" numFmtId="164" xfId="0" applyAlignment="1" applyFill="1" applyFont="1" applyNumberForma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ACKERMANN PERCENTAGE VS STEERING RACK TRAVEL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'ACKERMANN THROUGH STEERING RACK'!$B$1:$B$2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CC328A"/>
              </a:solidFill>
              <a:ln cmpd="sng">
                <a:solidFill>
                  <a:srgbClr val="CC328A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xVal>
            <c:numRef>
              <c:f>'ACKERMANN THROUGH STEERING RACK'!$A$3:$A$59</c:f>
            </c:numRef>
          </c:xVal>
          <c:yVal>
            <c:numRef>
              <c:f>'ACKERMANN THROUGH STEERING RACK'!$B$3:$B$59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827358"/>
        <c:axId val="86522940"/>
      </c:scatterChart>
      <c:valAx>
        <c:axId val="486827358"/>
        <c:scaling>
          <c:orientation val="minMax"/>
          <c:max val="60.0"/>
          <c:min val="-6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STEERING RACK TRAVEL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522940"/>
      </c:valAx>
      <c:valAx>
        <c:axId val="86522940"/>
        <c:scaling>
          <c:orientation val="minMax"/>
          <c:max val="28.0"/>
          <c:min val="8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ACKERMANN 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68273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TOE ANGLE vs. TRAVEL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'TOE ANGLE THROUGH TRAVEL'!$B$1:$B$2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rgbClr val="CC328A"/>
              </a:solidFill>
              <a:ln cmpd="sng">
                <a:solidFill>
                  <a:srgbClr val="CC328A"/>
                </a:solidFill>
              </a:ln>
            </c:spPr>
          </c:marker>
          <c:xVal>
            <c:numRef>
              <c:f>'TOE ANGLE THROUGH TRAVEL'!$A$3:$A$231</c:f>
            </c:numRef>
          </c:xVal>
          <c:yVal>
            <c:numRef>
              <c:f>'TOE ANGLE THROUGH TRAVEL'!$B$3:$B$231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6276373"/>
        <c:axId val="458375616"/>
      </c:scatterChart>
      <c:valAx>
        <c:axId val="100627637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SUSPENSION TRAVEL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8375616"/>
      </c:valAx>
      <c:valAx>
        <c:axId val="4583756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TOE ANGLE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62763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</xdr:row>
      <xdr:rowOff>0</xdr:rowOff>
    </xdr:from>
    <xdr:ext cx="11525250" cy="72104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914400</xdr:colOff>
      <xdr:row>6</xdr:row>
      <xdr:rowOff>114300</xdr:rowOff>
    </xdr:from>
    <xdr:ext cx="14430375" cy="89630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</cols>
  <sheetData>
    <row r="1">
      <c r="A1" s="5" t="s">
        <v>1</v>
      </c>
      <c r="B1" s="1" t="s">
        <v>9</v>
      </c>
    </row>
    <row r="2">
      <c r="A2" s="9" t="s">
        <v>10</v>
      </c>
      <c r="B2" s="12">
        <v>228.6</v>
      </c>
    </row>
    <row r="3">
      <c r="A3" s="9" t="s">
        <v>13</v>
      </c>
      <c r="B3" s="12">
        <v>-228.6</v>
      </c>
    </row>
    <row r="4">
      <c r="A4" s="9" t="s">
        <v>14</v>
      </c>
      <c r="B4" s="12">
        <v>1.0</v>
      </c>
    </row>
    <row r="5">
      <c r="A5" s="9" t="s">
        <v>16</v>
      </c>
      <c r="B5" s="12">
        <v>15.0</v>
      </c>
    </row>
    <row r="6">
      <c r="A6" s="9" t="s">
        <v>18</v>
      </c>
      <c r="B6" s="12">
        <v>0.5</v>
      </c>
    </row>
    <row r="7">
      <c r="A7" s="9" t="s">
        <v>20</v>
      </c>
      <c r="B7" s="12">
        <v>55.0</v>
      </c>
    </row>
    <row r="8">
      <c r="A8" s="9" t="s">
        <v>22</v>
      </c>
      <c r="B8" s="12">
        <v>2.0</v>
      </c>
    </row>
    <row r="9">
      <c r="A9" s="9" t="s">
        <v>24</v>
      </c>
      <c r="B9" s="12">
        <v>1500.0</v>
      </c>
    </row>
    <row r="10">
      <c r="A10" s="9" t="s">
        <v>26</v>
      </c>
      <c r="B10" s="12">
        <v>342.9</v>
      </c>
    </row>
    <row r="11">
      <c r="A11" s="9" t="s">
        <v>28</v>
      </c>
      <c r="B11" s="12">
        <v>60.0</v>
      </c>
    </row>
    <row r="12">
      <c r="A12" s="9" t="s">
        <v>31</v>
      </c>
      <c r="B12" s="12">
        <v>0.0</v>
      </c>
    </row>
    <row r="13">
      <c r="A13" s="9" t="s">
        <v>33</v>
      </c>
      <c r="B13" s="12">
        <v>42.06</v>
      </c>
    </row>
    <row r="14">
      <c r="A14" s="9" t="s">
        <v>35</v>
      </c>
      <c r="B14" s="15">
        <v>2.0</v>
      </c>
    </row>
    <row r="15">
      <c r="A15" s="9" t="s">
        <v>38</v>
      </c>
      <c r="B15" s="15">
        <v>1.0</v>
      </c>
    </row>
    <row r="16">
      <c r="A16" s="9" t="s">
        <v>40</v>
      </c>
      <c r="B16" s="12">
        <v>163.293</v>
      </c>
    </row>
    <row r="17">
      <c r="A17" s="9" t="s">
        <v>42</v>
      </c>
      <c r="B17" s="12">
        <v>1.0</v>
      </c>
    </row>
    <row r="18">
      <c r="A18" s="9" t="s">
        <v>44</v>
      </c>
      <c r="B18" s="12">
        <v>1.0</v>
      </c>
    </row>
    <row r="19">
      <c r="A19" s="9" t="s">
        <v>46</v>
      </c>
      <c r="B19" s="12">
        <v>65.0</v>
      </c>
    </row>
    <row r="20">
      <c r="A20" s="9" t="s">
        <v>48</v>
      </c>
      <c r="B20" s="12">
        <v>5.0</v>
      </c>
    </row>
    <row r="21">
      <c r="A21" s="9" t="s">
        <v>49</v>
      </c>
      <c r="B21" s="12">
        <v>5.0</v>
      </c>
    </row>
    <row r="22">
      <c r="A22" s="9" t="s">
        <v>50</v>
      </c>
      <c r="B22" s="12">
        <v>5.0</v>
      </c>
    </row>
    <row r="23">
      <c r="A23" s="9" t="s">
        <v>51</v>
      </c>
      <c r="B23" s="12">
        <v>5.0</v>
      </c>
    </row>
    <row r="24">
      <c r="A24" s="9" t="s">
        <v>53</v>
      </c>
      <c r="B24" s="12">
        <v>9.0</v>
      </c>
    </row>
    <row r="25">
      <c r="A25" s="9" t="s">
        <v>54</v>
      </c>
      <c r="B25" s="12">
        <f>B24</f>
        <v>9</v>
      </c>
    </row>
    <row r="26">
      <c r="A26" s="9" t="s">
        <v>61</v>
      </c>
      <c r="B26" s="12">
        <v>11.0</v>
      </c>
    </row>
    <row r="27">
      <c r="A27" s="9" t="s">
        <v>62</v>
      </c>
      <c r="B27" s="12">
        <f>B26</f>
        <v>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24.75"/>
  </cols>
  <sheetData>
    <row r="1">
      <c r="A1" s="1" t="s">
        <v>0</v>
      </c>
      <c r="B1" s="2" t="s">
        <v>2</v>
      </c>
      <c r="C1" s="3" t="s">
        <v>3</v>
      </c>
      <c r="D1" s="4" t="s">
        <v>5</v>
      </c>
      <c r="E1" s="6" t="s">
        <v>7</v>
      </c>
    </row>
    <row r="2">
      <c r="A2" s="7">
        <v>1.0</v>
      </c>
      <c r="B2" s="8" t="s">
        <v>11</v>
      </c>
      <c r="C2" s="10">
        <v>-946.454</v>
      </c>
      <c r="D2" s="11">
        <v>-173.635</v>
      </c>
      <c r="E2" s="13">
        <v>65.741</v>
      </c>
    </row>
    <row r="3">
      <c r="A3" s="7">
        <v>2.0</v>
      </c>
      <c r="B3" s="8" t="s">
        <v>12</v>
      </c>
      <c r="C3" s="10">
        <v>-766.691</v>
      </c>
      <c r="D3" s="11">
        <v>-163.768</v>
      </c>
      <c r="E3" s="13">
        <v>10.044</v>
      </c>
    </row>
    <row r="4">
      <c r="A4" s="7">
        <v>3.0</v>
      </c>
      <c r="B4" s="8" t="s">
        <v>15</v>
      </c>
      <c r="C4" s="10">
        <v>-929.346</v>
      </c>
      <c r="D4" s="11">
        <v>-786.412</v>
      </c>
      <c r="E4" s="13">
        <v>-108.219</v>
      </c>
    </row>
    <row r="5">
      <c r="A5" s="7">
        <v>4.0</v>
      </c>
      <c r="B5" s="8" t="s">
        <v>17</v>
      </c>
      <c r="C5" s="10">
        <v>-1059.28</v>
      </c>
      <c r="D5" s="11">
        <v>-195.261</v>
      </c>
      <c r="E5" s="13">
        <v>201.957</v>
      </c>
    </row>
    <row r="6">
      <c r="A6" s="7">
        <v>5.0</v>
      </c>
      <c r="B6" s="8" t="s">
        <v>19</v>
      </c>
      <c r="C6" s="10">
        <v>-751.65</v>
      </c>
      <c r="D6" s="11">
        <v>-178.055</v>
      </c>
      <c r="E6" s="13">
        <v>105.544</v>
      </c>
    </row>
    <row r="7">
      <c r="A7" s="7">
        <v>6.0</v>
      </c>
      <c r="B7" s="8" t="s">
        <v>21</v>
      </c>
      <c r="C7" s="10">
        <v>-906.285</v>
      </c>
      <c r="D7" s="11">
        <v>-763.676</v>
      </c>
      <c r="E7" s="13">
        <v>35.228</v>
      </c>
    </row>
    <row r="8">
      <c r="A8" s="7">
        <v>7.0</v>
      </c>
      <c r="B8" s="8" t="s">
        <v>23</v>
      </c>
      <c r="C8" s="10">
        <v>-890.513</v>
      </c>
      <c r="D8" s="11">
        <v>-431.171</v>
      </c>
      <c r="E8" s="13">
        <v>11.295</v>
      </c>
    </row>
    <row r="9">
      <c r="A9" s="7">
        <v>8.0</v>
      </c>
      <c r="B9" s="8" t="s">
        <v>25</v>
      </c>
      <c r="C9" s="10">
        <v>-763.196</v>
      </c>
      <c r="D9" s="11">
        <v>-230.866</v>
      </c>
      <c r="E9" s="13">
        <v>403.136</v>
      </c>
    </row>
    <row r="10">
      <c r="A10" s="7">
        <v>9.0</v>
      </c>
      <c r="B10" s="8" t="s">
        <v>27</v>
      </c>
      <c r="C10" s="10">
        <v>-841.5</v>
      </c>
      <c r="D10" s="11">
        <v>-773.5</v>
      </c>
      <c r="E10" s="13">
        <v>-87.0</v>
      </c>
    </row>
    <row r="11">
      <c r="A11" s="7">
        <v>10.0</v>
      </c>
      <c r="B11" s="8" t="s">
        <v>30</v>
      </c>
      <c r="C11" s="10">
        <v>-790.0</v>
      </c>
      <c r="D11" s="11">
        <v>-176.0</v>
      </c>
      <c r="E11" s="13">
        <v>54.073</v>
      </c>
    </row>
    <row r="12">
      <c r="A12" s="7">
        <v>11.0</v>
      </c>
      <c r="B12" s="8" t="s">
        <v>32</v>
      </c>
      <c r="C12" s="10">
        <v>-763.196</v>
      </c>
      <c r="D12" s="11">
        <v>-230.866</v>
      </c>
      <c r="E12" s="13">
        <v>403.136</v>
      </c>
    </row>
    <row r="13">
      <c r="A13" s="7">
        <v>12.0</v>
      </c>
      <c r="B13" s="8" t="s">
        <v>34</v>
      </c>
      <c r="C13" s="10">
        <v>-890.513</v>
      </c>
      <c r="D13" s="11">
        <v>-431.171</v>
      </c>
      <c r="E13" s="13">
        <v>11.295</v>
      </c>
    </row>
    <row r="14">
      <c r="A14" s="7">
        <v>13.0</v>
      </c>
      <c r="B14" s="8" t="s">
        <v>36</v>
      </c>
      <c r="C14" s="10">
        <v>-907.165</v>
      </c>
      <c r="D14" s="11">
        <v>-775.044</v>
      </c>
      <c r="E14" s="13">
        <v>-39.956</v>
      </c>
    </row>
    <row r="15">
      <c r="A15" s="7">
        <v>14.0</v>
      </c>
      <c r="B15" s="8" t="s">
        <v>37</v>
      </c>
      <c r="C15" s="10">
        <v>-906.932</v>
      </c>
      <c r="D15" s="11">
        <v>-796.699</v>
      </c>
      <c r="E15" s="13">
        <v>-39.237</v>
      </c>
    </row>
    <row r="16">
      <c r="A16" s="7">
        <v>15.0</v>
      </c>
      <c r="B16" s="8" t="s">
        <v>39</v>
      </c>
      <c r="C16" s="10">
        <v>4030.0</v>
      </c>
      <c r="D16" s="11">
        <v>-440.0</v>
      </c>
      <c r="E16" s="13">
        <v>195.0</v>
      </c>
    </row>
    <row r="17">
      <c r="A17" s="7">
        <v>16.0</v>
      </c>
      <c r="B17" s="8" t="s">
        <v>41</v>
      </c>
      <c r="C17" s="10">
        <v>4170.0</v>
      </c>
      <c r="D17" s="11">
        <v>-520.0</v>
      </c>
      <c r="E17" s="13">
        <v>450.0</v>
      </c>
    </row>
    <row r="18">
      <c r="A18" s="7">
        <v>17.0</v>
      </c>
      <c r="B18" s="8" t="s">
        <v>43</v>
      </c>
      <c r="C18" s="10">
        <v>4230.0</v>
      </c>
      <c r="D18" s="11">
        <v>-525.0</v>
      </c>
      <c r="E18" s="13">
        <v>220.0</v>
      </c>
    </row>
    <row r="19">
      <c r="A19" s="7">
        <v>18.0</v>
      </c>
      <c r="B19" s="8" t="s">
        <v>45</v>
      </c>
      <c r="C19" s="10">
        <v>4130.0</v>
      </c>
      <c r="D19" s="11">
        <v>-720.0</v>
      </c>
      <c r="E19" s="13">
        <v>275.0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24.75"/>
    <col customWidth="1" min="3" max="5" width="12.63"/>
  </cols>
  <sheetData>
    <row r="1">
      <c r="A1" s="1" t="s">
        <v>0</v>
      </c>
      <c r="B1" s="2" t="s">
        <v>2</v>
      </c>
      <c r="C1" s="3" t="s">
        <v>4</v>
      </c>
      <c r="D1" s="4" t="s">
        <v>6</v>
      </c>
      <c r="E1" s="6" t="s">
        <v>8</v>
      </c>
    </row>
    <row r="2">
      <c r="A2" s="7">
        <f>'FRONT SUSPENSION (MM)'!A2</f>
        <v>1</v>
      </c>
      <c r="B2" s="8" t="str">
        <f>'FRONT SUSPENSION (MM)'!B2</f>
        <v>Lower Wishbone Front Pivot</v>
      </c>
      <c r="C2" s="14">
        <f>CONVERT('FRONT SUSPENSION (MM)'!C2, "mm", "in")</f>
        <v>-37.2619685</v>
      </c>
      <c r="D2" s="16">
        <f>CONVERT('FRONT SUSPENSION (MM)'!D2, "mm", "in")</f>
        <v>-6.836023622</v>
      </c>
      <c r="E2" s="17">
        <f>CONVERT('FRONT SUSPENSION (MM)'!E2, "mm", "in")</f>
        <v>2.588228346</v>
      </c>
    </row>
    <row r="3">
      <c r="A3" s="7">
        <f>'FRONT SUSPENSION (MM)'!A3</f>
        <v>2</v>
      </c>
      <c r="B3" s="8" t="str">
        <f>'FRONT SUSPENSION (MM)'!B3</f>
        <v>Lower Wishbone Rear Pivot</v>
      </c>
      <c r="C3" s="14">
        <f>CONVERT('FRONT SUSPENSION (MM)'!C3, "mm", "in")</f>
        <v>-30.18468504</v>
      </c>
      <c r="D3" s="16">
        <f>CONVERT('FRONT SUSPENSION (MM)'!D3, "mm", "in")</f>
        <v>-6.447559055</v>
      </c>
      <c r="E3" s="17">
        <f>CONVERT('FRONT SUSPENSION (MM)'!E3, "mm", "in")</f>
        <v>0.3954330709</v>
      </c>
    </row>
    <row r="4">
      <c r="A4" s="7">
        <f>'FRONT SUSPENSION (MM)'!A4</f>
        <v>3</v>
      </c>
      <c r="B4" s="8" t="str">
        <f>'FRONT SUSPENSION (MM)'!B4</f>
        <v>Lower Wishbone Outer Ball Joint</v>
      </c>
      <c r="C4" s="14">
        <f>CONVERT('FRONT SUSPENSION (MM)'!C4, "mm", "in")</f>
        <v>-36.5884252</v>
      </c>
      <c r="D4" s="16">
        <f>CONVERT('FRONT SUSPENSION (MM)'!D4, "mm", "in")</f>
        <v>-30.96110236</v>
      </c>
      <c r="E4" s="17">
        <f>CONVERT('FRONT SUSPENSION (MM)'!E4, "mm", "in")</f>
        <v>-4.260590551</v>
      </c>
    </row>
    <row r="5">
      <c r="A5" s="7">
        <f>'FRONT SUSPENSION (MM)'!A5</f>
        <v>4</v>
      </c>
      <c r="B5" s="8" t="str">
        <f>'FRONT SUSPENSION (MM)'!B5</f>
        <v>Upper Wishbone Front Pivot</v>
      </c>
      <c r="C5" s="14">
        <f>CONVERT('FRONT SUSPENSION (MM)'!C5, "mm", "in")</f>
        <v>-41.70393701</v>
      </c>
      <c r="D5" s="16">
        <f>CONVERT('FRONT SUSPENSION (MM)'!D5, "mm", "in")</f>
        <v>-7.687440945</v>
      </c>
      <c r="E5" s="17">
        <f>CONVERT('FRONT SUSPENSION (MM)'!E5, "mm", "in")</f>
        <v>7.951062992</v>
      </c>
    </row>
    <row r="6">
      <c r="A6" s="7">
        <f>'FRONT SUSPENSION (MM)'!A6</f>
        <v>5</v>
      </c>
      <c r="B6" s="8" t="str">
        <f>'FRONT SUSPENSION (MM)'!B6</f>
        <v>Upper Wishbone Rear Pivot</v>
      </c>
      <c r="C6" s="14">
        <f>CONVERT('FRONT SUSPENSION (MM)'!C6, "mm", "in")</f>
        <v>-29.59251969</v>
      </c>
      <c r="D6" s="16">
        <f>CONVERT('FRONT SUSPENSION (MM)'!D6, "mm", "in")</f>
        <v>-7.01003937</v>
      </c>
      <c r="E6" s="17">
        <f>CONVERT('FRONT SUSPENSION (MM)'!E6, "mm", "in")</f>
        <v>4.155275591</v>
      </c>
    </row>
    <row r="7">
      <c r="A7" s="7">
        <f>'FRONT SUSPENSION (MM)'!A7</f>
        <v>6</v>
      </c>
      <c r="B7" s="8" t="str">
        <f>'FRONT SUSPENSION (MM)'!B7</f>
        <v>Upper Wishbone Outer Ball Joint</v>
      </c>
      <c r="C7" s="14">
        <f>CONVERT('FRONT SUSPENSION (MM)'!C7, "mm", "in")</f>
        <v>-35.68051181</v>
      </c>
      <c r="D7" s="16">
        <f>CONVERT('FRONT SUSPENSION (MM)'!D7, "mm", "in")</f>
        <v>-30.06598425</v>
      </c>
      <c r="E7" s="17">
        <f>CONVERT('FRONT SUSPENSION (MM)'!E7, "mm", "in")</f>
        <v>1.386929134</v>
      </c>
    </row>
    <row r="8">
      <c r="A8" s="7">
        <f>'FRONT SUSPENSION (MM)'!A8</f>
        <v>7</v>
      </c>
      <c r="B8" s="8" t="str">
        <f>'FRONT SUSPENSION (MM)'!B8</f>
        <v>Damper Wishbone End</v>
      </c>
      <c r="C8" s="14">
        <f>CONVERT('FRONT SUSPENSION (MM)'!C8, "mm", "in")</f>
        <v>-35.05956693</v>
      </c>
      <c r="D8" s="16">
        <f>CONVERT('FRONT SUSPENSION (MM)'!D8, "mm", "in")</f>
        <v>-16.97523622</v>
      </c>
      <c r="E8" s="17">
        <f>CONVERT('FRONT SUSPENSION (MM)'!E8, "mm", "in")</f>
        <v>0.4446850394</v>
      </c>
    </row>
    <row r="9">
      <c r="A9" s="7">
        <f>'FRONT SUSPENSION (MM)'!A9</f>
        <v>8</v>
      </c>
      <c r="B9" s="8" t="str">
        <f>'FRONT SUSPENSION (MM)'!B9</f>
        <v>Damper Body End</v>
      </c>
      <c r="C9" s="14">
        <f>CONVERT('FRONT SUSPENSION (MM)'!C9, "mm", "in")</f>
        <v>-30.04708661</v>
      </c>
      <c r="D9" s="16">
        <f>CONVERT('FRONT SUSPENSION (MM)'!D9, "mm", "in")</f>
        <v>-9.089212598</v>
      </c>
      <c r="E9" s="17">
        <f>CONVERT('FRONT SUSPENSION (MM)'!E9, "mm", "in")</f>
        <v>15.87149606</v>
      </c>
    </row>
    <row r="10">
      <c r="A10" s="7">
        <f>'FRONT SUSPENSION (MM)'!A10</f>
        <v>9</v>
      </c>
      <c r="B10" s="8" t="str">
        <f>'FRONT SUSPENSION (MM)'!B10</f>
        <v>Outer Track Rod Ball Joint</v>
      </c>
      <c r="C10" s="14">
        <f>CONVERT('FRONT SUSPENSION (MM)'!C10, "mm", "in")</f>
        <v>-33.12992126</v>
      </c>
      <c r="D10" s="16">
        <f>CONVERT('FRONT SUSPENSION (MM)'!D10, "mm", "in")</f>
        <v>-30.45275591</v>
      </c>
      <c r="E10" s="17">
        <f>CONVERT('FRONT SUSPENSION (MM)'!E10, "mm", "in")</f>
        <v>-3.42519685</v>
      </c>
    </row>
    <row r="11">
      <c r="A11" s="7">
        <f>'FRONT SUSPENSION (MM)'!A11</f>
        <v>10</v>
      </c>
      <c r="B11" s="8" t="str">
        <f>'FRONT SUSPENSION (MM)'!B11</f>
        <v>Inner Track Rod Ball Joint</v>
      </c>
      <c r="C11" s="14">
        <f>CONVERT('FRONT SUSPENSION (MM)'!C11, "mm", "in")</f>
        <v>-31.1023622</v>
      </c>
      <c r="D11" s="16">
        <f>CONVERT('FRONT SUSPENSION (MM)'!D11, "mm", "in")</f>
        <v>-6.929133858</v>
      </c>
      <c r="E11" s="17">
        <f>CONVERT('FRONT SUSPENSION (MM)'!E11, "mm", "in")</f>
        <v>2.128858268</v>
      </c>
    </row>
    <row r="12">
      <c r="A12" s="7">
        <f>'FRONT SUSPENSION (MM)'!A12</f>
        <v>11</v>
      </c>
      <c r="B12" s="8" t="str">
        <f>'FRONT SUSPENSION (MM)'!B12</f>
        <v>Upper Spring Pivot Point</v>
      </c>
      <c r="C12" s="14">
        <f>CONVERT('FRONT SUSPENSION (MM)'!C12, "mm", "in")</f>
        <v>-30.04708661</v>
      </c>
      <c r="D12" s="16">
        <f>CONVERT('FRONT SUSPENSION (MM)'!D12, "mm", "in")</f>
        <v>-9.089212598</v>
      </c>
      <c r="E12" s="17">
        <f>CONVERT('FRONT SUSPENSION (MM)'!E12, "mm", "in")</f>
        <v>15.87149606</v>
      </c>
    </row>
    <row r="13">
      <c r="A13" s="7">
        <f>'FRONT SUSPENSION (MM)'!A13</f>
        <v>12</v>
      </c>
      <c r="B13" s="8" t="str">
        <f>'FRONT SUSPENSION (MM)'!B13</f>
        <v>Lower Spring Pivot Point</v>
      </c>
      <c r="C13" s="14">
        <f>CONVERT('FRONT SUSPENSION (MM)'!C13, "mm", "in")</f>
        <v>-35.05956693</v>
      </c>
      <c r="D13" s="16">
        <f>CONVERT('FRONT SUSPENSION (MM)'!D13, "mm", "in")</f>
        <v>-16.97523622</v>
      </c>
      <c r="E13" s="17">
        <f>CONVERT('FRONT SUSPENSION (MM)'!E13, "mm", "in")</f>
        <v>0.4446850394</v>
      </c>
    </row>
    <row r="14">
      <c r="A14" s="7">
        <f>'FRONT SUSPENSION (MM)'!A14</f>
        <v>13</v>
      </c>
      <c r="B14" s="8" t="str">
        <f>'FRONT SUSPENSION (MM)'!B14</f>
        <v>Wheel Spindle Point</v>
      </c>
      <c r="C14" s="14">
        <f>CONVERT('FRONT SUSPENSION (MM)'!C14, "mm", "in")</f>
        <v>-35.71515748</v>
      </c>
      <c r="D14" s="16">
        <f>CONVERT('FRONT SUSPENSION (MM)'!D14, "mm", "in")</f>
        <v>-30.51354331</v>
      </c>
      <c r="E14" s="17">
        <f>CONVERT('FRONT SUSPENSION (MM)'!E14, "mm", "in")</f>
        <v>-1.573070866</v>
      </c>
    </row>
    <row r="15">
      <c r="A15" s="7">
        <f>'FRONT SUSPENSION (MM)'!A15</f>
        <v>14</v>
      </c>
      <c r="B15" s="8" t="str">
        <f>'FRONT SUSPENSION (MM)'!B15</f>
        <v>Wheel Center Point</v>
      </c>
      <c r="C15" s="14">
        <f>CONVERT('FRONT SUSPENSION (MM)'!C15, "mm", "in")</f>
        <v>-35.70598425</v>
      </c>
      <c r="D15" s="16">
        <f>CONVERT('FRONT SUSPENSION (MM)'!D15, "mm", "in")</f>
        <v>-31.36610236</v>
      </c>
      <c r="E15" s="17">
        <f>CONVERT('FRONT SUSPENSION (MM)'!E15, "mm", "in")</f>
        <v>-1.54476378</v>
      </c>
    </row>
    <row r="16">
      <c r="A16" s="7">
        <f>'FRONT SUSPENSION (MM)'!A16</f>
        <v>15</v>
      </c>
      <c r="B16" s="8" t="str">
        <f>'FRONT SUSPENSION (MM)'!B16</f>
        <v>Lower Wishbone CG</v>
      </c>
      <c r="C16" s="14">
        <f>CONVERT('FRONT SUSPENSION (MM)'!C16, "mm", "in")</f>
        <v>158.6614173</v>
      </c>
      <c r="D16" s="16">
        <f>CONVERT('FRONT SUSPENSION (MM)'!D16, "mm", "in")</f>
        <v>-17.32283465</v>
      </c>
      <c r="E16" s="17">
        <f>CONVERT('FRONT SUSPENSION (MM)'!E16, "mm", "in")</f>
        <v>7.677165354</v>
      </c>
    </row>
    <row r="17">
      <c r="A17" s="7">
        <f>'FRONT SUSPENSION (MM)'!A17</f>
        <v>16</v>
      </c>
      <c r="B17" s="8" t="str">
        <f>'FRONT SUSPENSION (MM)'!B17</f>
        <v>Upper Wishbone CG</v>
      </c>
      <c r="C17" s="14">
        <f>CONVERT('FRONT SUSPENSION (MM)'!C17, "mm", "in")</f>
        <v>164.1732283</v>
      </c>
      <c r="D17" s="16">
        <f>CONVERT('FRONT SUSPENSION (MM)'!D17, "mm", "in")</f>
        <v>-20.47244094</v>
      </c>
      <c r="E17" s="17">
        <f>CONVERT('FRONT SUSPENSION (MM)'!E17, "mm", "in")</f>
        <v>17.71653543</v>
      </c>
    </row>
    <row r="18">
      <c r="A18" s="7">
        <f>'FRONT SUSPENSION (MM)'!A18</f>
        <v>17</v>
      </c>
      <c r="B18" s="8" t="str">
        <f>'FRONT SUSPENSION (MM)'!B18</f>
        <v>Knuckle CG</v>
      </c>
      <c r="C18" s="14">
        <f>CONVERT('FRONT SUSPENSION (MM)'!C18, "mm", "in")</f>
        <v>166.5354331</v>
      </c>
      <c r="D18" s="16">
        <f>CONVERT('FRONT SUSPENSION (MM)'!D18, "mm", "in")</f>
        <v>-20.66929134</v>
      </c>
      <c r="E18" s="17">
        <f>CONVERT('FRONT SUSPENSION (MM)'!E18, "mm", "in")</f>
        <v>8.661417323</v>
      </c>
    </row>
    <row r="19">
      <c r="A19" s="7">
        <f>'FRONT SUSPENSION (MM)'!A19</f>
        <v>18</v>
      </c>
      <c r="B19" s="8" t="str">
        <f>'FRONT SUSPENSION (MM)'!B19</f>
        <v>Tie-Rod CG</v>
      </c>
      <c r="C19" s="14">
        <f>CONVERT('FRONT SUSPENSION (MM)'!C19, "mm", "in")</f>
        <v>162.5984252</v>
      </c>
      <c r="D19" s="16">
        <f>CONVERT('FRONT SUSPENSION (MM)'!D19, "mm", "in")</f>
        <v>-28.34645669</v>
      </c>
      <c r="E19" s="17">
        <f>CONVERT('FRONT SUSPENSION (MM)'!E19, "mm", "in")</f>
        <v>10.82677165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26.38"/>
  </cols>
  <sheetData>
    <row r="1">
      <c r="A1" s="1" t="s">
        <v>0</v>
      </c>
      <c r="B1" s="2" t="s">
        <v>2</v>
      </c>
      <c r="C1" s="3" t="s">
        <v>4</v>
      </c>
      <c r="D1" s="4" t="s">
        <v>6</v>
      </c>
      <c r="E1" s="6" t="s">
        <v>8</v>
      </c>
    </row>
    <row r="2">
      <c r="A2" s="7">
        <f>'FRONT SUSPENSION (MM)'!A2</f>
        <v>1</v>
      </c>
      <c r="B2" s="8" t="s">
        <v>29</v>
      </c>
      <c r="C2" s="14">
        <v>1211.734127</v>
      </c>
      <c r="D2" s="16">
        <v>292.0867666</v>
      </c>
      <c r="E2" s="17">
        <v>404.2979722</v>
      </c>
    </row>
    <row r="3">
      <c r="A3" s="7">
        <f>'FRONT SUSPENSION (MM)'!A3</f>
        <v>2</v>
      </c>
      <c r="B3" s="8" t="s">
        <v>47</v>
      </c>
      <c r="C3" s="14">
        <v>1896.356609</v>
      </c>
      <c r="D3" s="16">
        <v>109.9121246</v>
      </c>
      <c r="E3" s="17">
        <v>344.401267</v>
      </c>
    </row>
    <row r="4">
      <c r="A4" s="7">
        <f>'FRONT SUSPENSION (MM)'!A4</f>
        <v>3</v>
      </c>
      <c r="B4" s="8" t="s">
        <v>52</v>
      </c>
      <c r="C4" s="14">
        <v>1737.204069</v>
      </c>
      <c r="D4" s="16">
        <v>652.8204114</v>
      </c>
      <c r="E4" s="17">
        <v>218.2720552</v>
      </c>
    </row>
    <row r="5">
      <c r="A5" s="7">
        <f>'FRONT SUSPENSION (MM)'!A5</f>
        <v>4</v>
      </c>
      <c r="B5" s="8" t="s">
        <v>55</v>
      </c>
      <c r="C5" s="14">
        <v>1238.415938</v>
      </c>
      <c r="D5" s="16">
        <v>324.5924928</v>
      </c>
      <c r="E5" s="17">
        <v>500.9445404</v>
      </c>
    </row>
    <row r="6">
      <c r="A6" s="7">
        <f>'FRONT SUSPENSION (MM)'!A6</f>
        <v>5</v>
      </c>
      <c r="B6" s="8" t="s">
        <v>56</v>
      </c>
      <c r="C6" s="14">
        <v>1871.891125</v>
      </c>
      <c r="D6" s="16">
        <v>156.0279074</v>
      </c>
      <c r="E6" s="17">
        <v>445.5226548</v>
      </c>
    </row>
    <row r="7">
      <c r="A7" s="7">
        <f>'FRONT SUSPENSION (MM)'!A7</f>
        <v>6</v>
      </c>
      <c r="B7" s="8" t="s">
        <v>57</v>
      </c>
      <c r="C7" s="14">
        <v>1750.478922</v>
      </c>
      <c r="D7" s="16">
        <v>647.6377192</v>
      </c>
      <c r="E7" s="17">
        <v>370.0043146</v>
      </c>
    </row>
    <row r="8">
      <c r="A8" s="7">
        <f>'FRONT SUSPENSION (MM)'!A8</f>
        <v>7</v>
      </c>
      <c r="B8" s="8" t="s">
        <v>58</v>
      </c>
      <c r="C8" s="14">
        <v>1585.610418</v>
      </c>
      <c r="D8" s="16">
        <v>432.8955782</v>
      </c>
      <c r="E8" s="17">
        <v>328.1992674</v>
      </c>
    </row>
    <row r="9">
      <c r="A9" s="7">
        <f>'FRONT SUSPENSION (MM)'!A9</f>
        <v>8</v>
      </c>
      <c r="B9" s="8" t="s">
        <v>59</v>
      </c>
      <c r="C9" s="14">
        <v>1623.575722</v>
      </c>
      <c r="D9" s="16">
        <v>258.9057814</v>
      </c>
      <c r="E9" s="17">
        <v>762.1448054</v>
      </c>
    </row>
    <row r="10">
      <c r="A10" s="7">
        <f>'FRONT SUSPENSION (MM)'!A10</f>
        <v>9</v>
      </c>
      <c r="B10" s="8" t="s">
        <v>60</v>
      </c>
      <c r="C10" s="14">
        <v>1826.039579</v>
      </c>
      <c r="D10" s="16">
        <v>648.6668002</v>
      </c>
      <c r="E10" s="17">
        <v>359.4297358</v>
      </c>
    </row>
    <row r="11">
      <c r="A11" s="7">
        <f>'FRONT SUSPENSION (MM)'!A11</f>
        <v>10</v>
      </c>
      <c r="B11" s="8" t="s">
        <v>63</v>
      </c>
      <c r="C11" s="14">
        <v>1786.619388</v>
      </c>
      <c r="D11" s="16">
        <v>501.3014612</v>
      </c>
      <c r="E11" s="17">
        <v>392.4836702</v>
      </c>
    </row>
    <row r="12">
      <c r="A12" s="7">
        <f>'FRONT SUSPENSION (MM)'!A12</f>
        <v>11</v>
      </c>
      <c r="B12" s="8" t="s">
        <v>64</v>
      </c>
      <c r="C12" s="14">
        <v>1623.575722</v>
      </c>
      <c r="D12" s="16">
        <v>258.9057814</v>
      </c>
      <c r="E12" s="17">
        <v>762.1448054</v>
      </c>
    </row>
    <row r="13">
      <c r="A13" s="7">
        <f>'FRONT SUSPENSION (MM)'!A13</f>
        <v>12</v>
      </c>
      <c r="B13" s="8" t="s">
        <v>65</v>
      </c>
      <c r="C13" s="14">
        <v>1585.610418</v>
      </c>
      <c r="D13" s="16">
        <v>432.8955782</v>
      </c>
      <c r="E13" s="17">
        <v>328.1992674</v>
      </c>
    </row>
    <row r="14">
      <c r="A14" s="7">
        <f>'FRONT SUSPENSION (MM)'!A14</f>
        <v>13</v>
      </c>
      <c r="B14" s="8" t="s">
        <v>36</v>
      </c>
      <c r="C14" s="14">
        <v>1743.841496</v>
      </c>
      <c r="D14" s="16">
        <v>586.7677368</v>
      </c>
      <c r="E14" s="17">
        <v>291.922073</v>
      </c>
    </row>
    <row r="15">
      <c r="A15" s="7">
        <f>'FRONT SUSPENSION (MM)'!A15</f>
        <v>14</v>
      </c>
      <c r="B15" s="8" t="s">
        <v>37</v>
      </c>
      <c r="C15" s="14">
        <v>1743.841496</v>
      </c>
      <c r="D15" s="16">
        <v>688.3058624</v>
      </c>
      <c r="E15" s="17">
        <v>295.4678368</v>
      </c>
    </row>
    <row r="16">
      <c r="A16" s="7">
        <f>'FRONT SUSPENSION (MM)'!A16</f>
        <v>15</v>
      </c>
      <c r="B16" s="8" t="str">
        <f>'FRONT SUSPENSION (MM)'!B16</f>
        <v>Lower Wishbone CG</v>
      </c>
      <c r="C16" s="14">
        <v>1308.1</v>
      </c>
      <c r="D16" s="16">
        <v>342.9</v>
      </c>
      <c r="E16" s="17">
        <v>322.58</v>
      </c>
    </row>
    <row r="17">
      <c r="A17" s="7">
        <f>'FRONT SUSPENSION (MM)'!A17</f>
        <v>16</v>
      </c>
      <c r="B17" s="8" t="str">
        <f>'FRONT SUSPENSION (MM)'!B17</f>
        <v>Upper Wishbone CG</v>
      </c>
      <c r="C17" s="14">
        <v>1620.52</v>
      </c>
      <c r="D17" s="16">
        <v>365.76</v>
      </c>
      <c r="E17" s="17">
        <v>436.88</v>
      </c>
    </row>
    <row r="18">
      <c r="A18" s="7">
        <f>'FRONT SUSPENSION (MM)'!A18</f>
        <v>17</v>
      </c>
      <c r="B18" s="8" t="str">
        <f>'FRONT SUSPENSION (MM)'!B18</f>
        <v>Knuckle CG</v>
      </c>
      <c r="C18" s="14">
        <v>1803.4</v>
      </c>
      <c r="D18" s="16">
        <v>574.04</v>
      </c>
      <c r="E18" s="17">
        <v>375.92</v>
      </c>
    </row>
    <row r="19">
      <c r="A19" s="7">
        <f>'FRONT SUSPENSION (MM)'!A19</f>
        <v>18</v>
      </c>
      <c r="B19" s="8" t="str">
        <f>'FRONT SUSPENSION (MM)'!B19</f>
        <v>Tie-Rod CG</v>
      </c>
      <c r="C19" s="14">
        <v>1765.3</v>
      </c>
      <c r="D19" s="16">
        <v>660.4</v>
      </c>
      <c r="E19" s="17">
        <v>309.88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26.38"/>
  </cols>
  <sheetData>
    <row r="1">
      <c r="A1" s="1" t="s">
        <v>0</v>
      </c>
      <c r="B1" s="2" t="s">
        <v>2</v>
      </c>
      <c r="C1" s="3" t="s">
        <v>4</v>
      </c>
      <c r="D1" s="4" t="s">
        <v>6</v>
      </c>
      <c r="E1" s="6" t="s">
        <v>8</v>
      </c>
    </row>
    <row r="2">
      <c r="A2" s="7">
        <f>'FRONT SUSPENSION (MM)'!A2</f>
        <v>1</v>
      </c>
      <c r="B2" s="8" t="s">
        <v>29</v>
      </c>
      <c r="C2" s="14">
        <f>CONVERT('REAR SUSPENSION (mm)'!C2, "mm", "in")</f>
        <v>47.70606799</v>
      </c>
      <c r="D2" s="16">
        <f>CONVERT('REAR SUSPENSION (mm)'!D2, "mm", "in")</f>
        <v>11.499479</v>
      </c>
      <c r="E2" s="17">
        <f>CONVERT('REAR SUSPENSION (mm)'!E2, "mm", "in")</f>
        <v>15.917243</v>
      </c>
    </row>
    <row r="3">
      <c r="A3" s="7">
        <f>'FRONT SUSPENSION (MM)'!A3</f>
        <v>2</v>
      </c>
      <c r="B3" s="8" t="s">
        <v>47</v>
      </c>
      <c r="C3" s="14">
        <f>CONVERT('REAR SUSPENSION (mm)'!C3, "mm", "in")</f>
        <v>74.65970902</v>
      </c>
      <c r="D3" s="16">
        <f>CONVERT('REAR SUSPENSION (mm)'!D3, "mm", "in")</f>
        <v>4.327249</v>
      </c>
      <c r="E3" s="17">
        <f>CONVERT('REAR SUSPENSION (mm)'!E3, "mm", "in")</f>
        <v>13.559105</v>
      </c>
    </row>
    <row r="4">
      <c r="A4" s="7">
        <f>'FRONT SUSPENSION (MM)'!A4</f>
        <v>3</v>
      </c>
      <c r="B4" s="8" t="s">
        <v>52</v>
      </c>
      <c r="C4" s="14">
        <f>CONVERT('REAR SUSPENSION (mm)'!C4, "mm", "in")</f>
        <v>68.39386098</v>
      </c>
      <c r="D4" s="16">
        <f>CONVERT('REAR SUSPENSION (mm)'!D4, "mm", "in")</f>
        <v>25.701591</v>
      </c>
      <c r="E4" s="17">
        <f>CONVERT('REAR SUSPENSION (mm)'!E4, "mm", "in")</f>
        <v>8.593388</v>
      </c>
    </row>
    <row r="5">
      <c r="A5" s="7">
        <f>'FRONT SUSPENSION (MM)'!A5</f>
        <v>4</v>
      </c>
      <c r="B5" s="8" t="s">
        <v>55</v>
      </c>
      <c r="C5" s="14">
        <f>CONVERT('REAR SUSPENSION (mm)'!C5, "mm", "in")</f>
        <v>48.75653299</v>
      </c>
      <c r="D5" s="16">
        <f>CONVERT('REAR SUSPENSION (mm)'!D5, "mm", "in")</f>
        <v>12.779232</v>
      </c>
      <c r="E5" s="17">
        <f>CONVERT('REAR SUSPENSION (mm)'!E5, "mm", "in")</f>
        <v>19.722226</v>
      </c>
    </row>
    <row r="6">
      <c r="A6" s="7">
        <f>'FRONT SUSPENSION (MM)'!A6</f>
        <v>5</v>
      </c>
      <c r="B6" s="8" t="s">
        <v>56</v>
      </c>
      <c r="C6" s="14">
        <f>CONVERT('REAR SUSPENSION (mm)'!C6, "mm", "in")</f>
        <v>73.69650098</v>
      </c>
      <c r="D6" s="16">
        <f>CONVERT('REAR SUSPENSION (mm)'!D6, "mm", "in")</f>
        <v>6.142831</v>
      </c>
      <c r="E6" s="17">
        <f>CONVERT('REAR SUSPENSION (mm)'!E6, "mm", "in")</f>
        <v>17.540262</v>
      </c>
    </row>
    <row r="7">
      <c r="A7" s="7">
        <f>'FRONT SUSPENSION (MM)'!A7</f>
        <v>6</v>
      </c>
      <c r="B7" s="8" t="s">
        <v>57</v>
      </c>
      <c r="C7" s="14">
        <f>CONVERT('REAR SUSPENSION (mm)'!C7, "mm", "in")</f>
        <v>68.91649299</v>
      </c>
      <c r="D7" s="16">
        <f>CONVERT('REAR SUSPENSION (mm)'!D7, "mm", "in")</f>
        <v>25.497548</v>
      </c>
      <c r="E7" s="17">
        <f>CONVERT('REAR SUSPENSION (mm)'!E7, "mm", "in")</f>
        <v>14.567099</v>
      </c>
    </row>
    <row r="8">
      <c r="A8" s="7">
        <f>'FRONT SUSPENSION (MM)'!A8</f>
        <v>7</v>
      </c>
      <c r="B8" s="8" t="s">
        <v>58</v>
      </c>
      <c r="C8" s="14">
        <f>CONVERT('REAR SUSPENSION (mm)'!C8, "mm", "in")</f>
        <v>62.42560701</v>
      </c>
      <c r="D8" s="16">
        <f>CONVERT('REAR SUSPENSION (mm)'!D8, "mm", "in")</f>
        <v>17.043133</v>
      </c>
      <c r="E8" s="17">
        <f>CONVERT('REAR SUSPENSION (mm)'!E8, "mm", "in")</f>
        <v>12.921231</v>
      </c>
    </row>
    <row r="9">
      <c r="A9" s="7">
        <f>'FRONT SUSPENSION (MM)'!A9</f>
        <v>8</v>
      </c>
      <c r="B9" s="8" t="s">
        <v>59</v>
      </c>
      <c r="C9" s="14">
        <f>CONVERT('REAR SUSPENSION (mm)'!C9, "mm", "in")</f>
        <v>63.92030402</v>
      </c>
      <c r="D9" s="16">
        <f>CONVERT('REAR SUSPENSION (mm)'!D9, "mm", "in")</f>
        <v>10.193141</v>
      </c>
      <c r="E9" s="17">
        <f>CONVERT('REAR SUSPENSION (mm)'!E9, "mm", "in")</f>
        <v>30.005701</v>
      </c>
    </row>
    <row r="10">
      <c r="A10" s="7">
        <f>'FRONT SUSPENSION (MM)'!A10</f>
        <v>9</v>
      </c>
      <c r="B10" s="8" t="s">
        <v>60</v>
      </c>
      <c r="C10" s="14">
        <f>CONVERT('REAR SUSPENSION (mm)'!C10, "mm", "in")</f>
        <v>71.89132201</v>
      </c>
      <c r="D10" s="16">
        <f>CONVERT('REAR SUSPENSION (mm)'!D10, "mm", "in")</f>
        <v>25.538063</v>
      </c>
      <c r="E10" s="17">
        <f>CONVERT('REAR SUSPENSION (mm)'!E10, "mm", "in")</f>
        <v>14.150777</v>
      </c>
    </row>
    <row r="11">
      <c r="A11" s="7">
        <f>'FRONT SUSPENSION (MM)'!A11</f>
        <v>10</v>
      </c>
      <c r="B11" s="8" t="s">
        <v>63</v>
      </c>
      <c r="C11" s="14">
        <f>CONVERT('REAR SUSPENSION (mm)'!C11, "mm", "in")</f>
        <v>70.33934598</v>
      </c>
      <c r="D11" s="16">
        <f>CONVERT('REAR SUSPENSION (mm)'!D11, "mm", "in")</f>
        <v>19.736278</v>
      </c>
      <c r="E11" s="17">
        <f>CONVERT('REAR SUSPENSION (mm)'!E11, "mm", "in")</f>
        <v>15.452113</v>
      </c>
    </row>
    <row r="12">
      <c r="A12" s="7">
        <f>'FRONT SUSPENSION (MM)'!A12</f>
        <v>11</v>
      </c>
      <c r="B12" s="8" t="s">
        <v>64</v>
      </c>
      <c r="C12" s="14">
        <f>CONVERT('REAR SUSPENSION (mm)'!C12, "mm", "in")</f>
        <v>63.92030402</v>
      </c>
      <c r="D12" s="16">
        <f>CONVERT('REAR SUSPENSION (mm)'!D12, "mm", "in")</f>
        <v>10.193141</v>
      </c>
      <c r="E12" s="17">
        <f>CONVERT('REAR SUSPENSION (mm)'!E12, "mm", "in")</f>
        <v>30.005701</v>
      </c>
    </row>
    <row r="13">
      <c r="A13" s="7">
        <f>'FRONT SUSPENSION (MM)'!A13</f>
        <v>12</v>
      </c>
      <c r="B13" s="8" t="s">
        <v>65</v>
      </c>
      <c r="C13" s="14">
        <f>CONVERT('REAR SUSPENSION (mm)'!C13, "mm", "in")</f>
        <v>62.42560701</v>
      </c>
      <c r="D13" s="16">
        <f>CONVERT('REAR SUSPENSION (mm)'!D13, "mm", "in")</f>
        <v>17.043133</v>
      </c>
      <c r="E13" s="17">
        <f>CONVERT('REAR SUSPENSION (mm)'!E13, "mm", "in")</f>
        <v>12.921231</v>
      </c>
    </row>
    <row r="14">
      <c r="A14" s="7">
        <f>'FRONT SUSPENSION (MM)'!A14</f>
        <v>13</v>
      </c>
      <c r="B14" s="8" t="s">
        <v>36</v>
      </c>
      <c r="C14" s="14">
        <f>CONVERT('REAR SUSPENSION (mm)'!C14, "mm", "in")</f>
        <v>68.65517701</v>
      </c>
      <c r="D14" s="16">
        <f>CONVERT('REAR SUSPENSION (mm)'!D14, "mm", "in")</f>
        <v>23.101092</v>
      </c>
      <c r="E14" s="17">
        <f>CONVERT('REAR SUSPENSION (mm)'!E14, "mm", "in")</f>
        <v>11.492995</v>
      </c>
    </row>
    <row r="15">
      <c r="A15" s="7">
        <f>'FRONT SUSPENSION (MM)'!A15</f>
        <v>14</v>
      </c>
      <c r="B15" s="8" t="s">
        <v>37</v>
      </c>
      <c r="C15" s="14">
        <f>CONVERT('REAR SUSPENSION (mm)'!C15, "mm", "in")</f>
        <v>68.65517701</v>
      </c>
      <c r="D15" s="16">
        <f>CONVERT('REAR SUSPENSION (mm)'!D15, "mm", "in")</f>
        <v>27.098656</v>
      </c>
      <c r="E15" s="17">
        <f>CONVERT('REAR SUSPENSION (mm)'!E15, "mm", "in")</f>
        <v>11.632592</v>
      </c>
    </row>
    <row r="16">
      <c r="A16" s="7">
        <f>'FRONT SUSPENSION (MM)'!A16</f>
        <v>15</v>
      </c>
      <c r="B16" s="8" t="str">
        <f>'FRONT SUSPENSION (MM)'!B16</f>
        <v>Lower Wishbone CG</v>
      </c>
      <c r="C16" s="14">
        <f>CONVERT('REAR SUSPENSION (mm)'!C16, "mm", "in")</f>
        <v>51.5</v>
      </c>
      <c r="D16" s="16">
        <f>CONVERT('REAR SUSPENSION (mm)'!D16, "mm", "in")</f>
        <v>13.5</v>
      </c>
      <c r="E16" s="17">
        <f>CONVERT('REAR SUSPENSION (mm)'!E16, "mm", "in")</f>
        <v>12.7</v>
      </c>
    </row>
    <row r="17">
      <c r="A17" s="7">
        <f>'FRONT SUSPENSION (MM)'!A17</f>
        <v>16</v>
      </c>
      <c r="B17" s="8" t="str">
        <f>'FRONT SUSPENSION (MM)'!B17</f>
        <v>Upper Wishbone CG</v>
      </c>
      <c r="C17" s="14">
        <f>CONVERT('REAR SUSPENSION (mm)'!C17, "mm", "in")</f>
        <v>63.8</v>
      </c>
      <c r="D17" s="16">
        <f>CONVERT('REAR SUSPENSION (mm)'!D17, "mm", "in")</f>
        <v>14.4</v>
      </c>
      <c r="E17" s="17">
        <f>CONVERT('REAR SUSPENSION (mm)'!E17, "mm", "in")</f>
        <v>17.2</v>
      </c>
    </row>
    <row r="18">
      <c r="A18" s="7">
        <f>'FRONT SUSPENSION (MM)'!A18</f>
        <v>17</v>
      </c>
      <c r="B18" s="8" t="str">
        <f>'FRONT SUSPENSION (MM)'!B18</f>
        <v>Knuckle CG</v>
      </c>
      <c r="C18" s="14">
        <f>CONVERT('REAR SUSPENSION (mm)'!C18, "mm", "in")</f>
        <v>71</v>
      </c>
      <c r="D18" s="16">
        <f>CONVERT('REAR SUSPENSION (mm)'!D18, "mm", "in")</f>
        <v>22.6</v>
      </c>
      <c r="E18" s="17">
        <f>CONVERT('REAR SUSPENSION (mm)'!E18, "mm", "in")</f>
        <v>14.8</v>
      </c>
    </row>
    <row r="19">
      <c r="A19" s="7">
        <f>'FRONT SUSPENSION (MM)'!A19</f>
        <v>18</v>
      </c>
      <c r="B19" s="8" t="str">
        <f>'FRONT SUSPENSION (MM)'!B19</f>
        <v>Tie-Rod CG</v>
      </c>
      <c r="C19" s="14">
        <f>CONVERT('REAR SUSPENSION (mm)'!C19, "mm", "in")</f>
        <v>69.5</v>
      </c>
      <c r="D19" s="16">
        <f>CONVERT('REAR SUSPENSION (mm)'!D19, "mm", "in")</f>
        <v>26</v>
      </c>
      <c r="E19" s="17">
        <f>CONVERT('REAR SUSPENSION (mm)'!E19, "mm", "in")</f>
        <v>12.2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71</v>
      </c>
      <c r="C1" s="19"/>
    </row>
    <row r="2">
      <c r="A2" s="18" t="s">
        <v>67</v>
      </c>
      <c r="B2" s="18" t="s">
        <v>68</v>
      </c>
      <c r="C2" s="18" t="s">
        <v>69</v>
      </c>
    </row>
    <row r="3">
      <c r="A3" s="22">
        <v>56.0</v>
      </c>
      <c r="B3" s="22">
        <v>24.06028</v>
      </c>
      <c r="C3" s="22">
        <v>24.06028</v>
      </c>
    </row>
    <row r="4">
      <c r="A4" s="22">
        <v>54.0</v>
      </c>
      <c r="B4" s="22">
        <v>22.18958</v>
      </c>
      <c r="C4" s="22">
        <v>22.18958</v>
      </c>
    </row>
    <row r="5">
      <c r="A5" s="22">
        <v>52.0</v>
      </c>
      <c r="B5" s="22">
        <v>20.66246</v>
      </c>
      <c r="C5" s="22">
        <v>20.66246</v>
      </c>
    </row>
    <row r="6">
      <c r="A6" s="22">
        <v>50.0</v>
      </c>
      <c r="B6" s="22">
        <v>19.38356</v>
      </c>
      <c r="C6" s="22">
        <v>19.38356</v>
      </c>
    </row>
    <row r="7">
      <c r="A7" s="22">
        <v>48.0</v>
      </c>
      <c r="B7" s="22">
        <v>18.29297</v>
      </c>
      <c r="C7" s="22">
        <v>18.29297</v>
      </c>
    </row>
    <row r="8">
      <c r="A8" s="22">
        <v>46.0</v>
      </c>
      <c r="B8" s="22">
        <v>17.35042</v>
      </c>
      <c r="C8" s="22">
        <v>17.35042</v>
      </c>
    </row>
    <row r="9">
      <c r="A9" s="22">
        <v>44.0</v>
      </c>
      <c r="B9" s="22">
        <v>16.52752</v>
      </c>
      <c r="C9" s="22">
        <v>16.52752</v>
      </c>
    </row>
    <row r="10">
      <c r="A10" s="22">
        <v>42.0</v>
      </c>
      <c r="B10" s="22">
        <v>15.80345</v>
      </c>
      <c r="C10" s="22">
        <v>15.80345</v>
      </c>
    </row>
    <row r="11">
      <c r="A11" s="22">
        <v>40.0</v>
      </c>
      <c r="B11" s="22">
        <v>15.1625</v>
      </c>
      <c r="C11" s="22">
        <v>15.1625</v>
      </c>
    </row>
    <row r="12">
      <c r="A12" s="22">
        <v>38.0</v>
      </c>
      <c r="B12" s="22">
        <v>14.59253</v>
      </c>
      <c r="C12" s="22">
        <v>14.59253</v>
      </c>
    </row>
    <row r="13">
      <c r="A13" s="22">
        <v>36.0</v>
      </c>
      <c r="B13" s="22">
        <v>14.08393</v>
      </c>
      <c r="C13" s="22">
        <v>14.08393</v>
      </c>
    </row>
    <row r="14">
      <c r="A14" s="22">
        <v>34.0</v>
      </c>
      <c r="B14" s="22">
        <v>13.62904</v>
      </c>
      <c r="C14" s="22">
        <v>13.62904</v>
      </c>
    </row>
    <row r="15">
      <c r="A15" s="22">
        <v>32.0</v>
      </c>
      <c r="B15" s="22">
        <v>13.22161</v>
      </c>
      <c r="C15" s="22">
        <v>13.22161</v>
      </c>
    </row>
    <row r="16">
      <c r="A16" s="22">
        <v>30.0</v>
      </c>
      <c r="B16" s="22">
        <v>12.85648</v>
      </c>
      <c r="C16" s="22">
        <v>12.85648</v>
      </c>
    </row>
    <row r="17">
      <c r="A17" s="22">
        <v>28.0</v>
      </c>
      <c r="B17" s="22">
        <v>12.52939</v>
      </c>
      <c r="C17" s="22">
        <v>12.52939</v>
      </c>
    </row>
    <row r="18">
      <c r="A18" s="22">
        <v>26.0</v>
      </c>
      <c r="B18" s="22">
        <v>12.23674</v>
      </c>
      <c r="C18" s="22">
        <v>12.23674</v>
      </c>
    </row>
    <row r="19">
      <c r="A19" s="22">
        <v>24.0</v>
      </c>
      <c r="B19" s="22">
        <v>11.97552</v>
      </c>
      <c r="C19" s="22">
        <v>11.97552</v>
      </c>
    </row>
    <row r="20">
      <c r="A20" s="22">
        <v>22.0</v>
      </c>
      <c r="B20" s="22">
        <v>11.74316</v>
      </c>
      <c r="C20" s="22">
        <v>11.74316</v>
      </c>
    </row>
    <row r="21">
      <c r="A21" s="22">
        <v>20.0</v>
      </c>
      <c r="B21" s="22">
        <v>11.53745</v>
      </c>
      <c r="C21" s="22">
        <v>11.53745</v>
      </c>
    </row>
    <row r="22">
      <c r="A22" s="22">
        <v>18.0</v>
      </c>
      <c r="B22" s="22">
        <v>11.35652</v>
      </c>
      <c r="C22" s="22">
        <v>11.35652</v>
      </c>
    </row>
    <row r="23">
      <c r="A23" s="22">
        <v>16.0</v>
      </c>
      <c r="B23" s="22">
        <v>11.19875</v>
      </c>
      <c r="C23" s="22">
        <v>11.19875</v>
      </c>
    </row>
    <row r="24">
      <c r="A24" s="22">
        <v>14.0</v>
      </c>
      <c r="B24" s="22">
        <v>11.06277</v>
      </c>
      <c r="C24" s="22">
        <v>11.06277</v>
      </c>
    </row>
    <row r="25">
      <c r="A25" s="22">
        <v>12.0</v>
      </c>
      <c r="B25" s="22">
        <v>10.94738</v>
      </c>
      <c r="C25" s="22">
        <v>10.94738</v>
      </c>
    </row>
    <row r="26">
      <c r="A26" s="22">
        <v>10.0</v>
      </c>
      <c r="B26" s="22">
        <v>10.85158</v>
      </c>
      <c r="C26" s="22">
        <v>10.85158</v>
      </c>
    </row>
    <row r="27">
      <c r="A27" s="22">
        <v>8.0</v>
      </c>
      <c r="B27" s="22">
        <v>10.7745</v>
      </c>
      <c r="C27" s="22">
        <v>10.7745</v>
      </c>
    </row>
    <row r="28">
      <c r="A28" s="22">
        <v>6.0</v>
      </c>
      <c r="B28" s="22">
        <v>10.71542</v>
      </c>
      <c r="C28" s="22">
        <v>10.71542</v>
      </c>
    </row>
    <row r="29">
      <c r="A29" s="22">
        <v>4.0</v>
      </c>
      <c r="B29" s="22">
        <v>10.67375</v>
      </c>
      <c r="C29" s="22">
        <v>10.67375</v>
      </c>
    </row>
    <row r="30">
      <c r="A30" s="22">
        <v>2.0</v>
      </c>
      <c r="B30" s="22">
        <v>10.64901</v>
      </c>
      <c r="C30" s="22">
        <v>10.64901</v>
      </c>
    </row>
    <row r="31">
      <c r="A31" s="22">
        <v>0.0</v>
      </c>
      <c r="B31" s="22">
        <v>10.64083</v>
      </c>
      <c r="C31" s="22">
        <v>10.64083</v>
      </c>
    </row>
    <row r="32">
      <c r="A32" s="22">
        <v>-2.0</v>
      </c>
      <c r="B32" s="22">
        <v>10.64901</v>
      </c>
      <c r="C32" s="22">
        <v>10.64901</v>
      </c>
    </row>
    <row r="33">
      <c r="A33" s="22">
        <v>-4.0</v>
      </c>
      <c r="B33" s="22">
        <v>10.67375</v>
      </c>
      <c r="C33" s="22">
        <v>10.67375</v>
      </c>
    </row>
    <row r="34">
      <c r="A34" s="22">
        <v>-6.0</v>
      </c>
      <c r="B34" s="22">
        <v>10.71542</v>
      </c>
      <c r="C34" s="22">
        <v>10.71542</v>
      </c>
    </row>
    <row r="35">
      <c r="A35" s="22">
        <v>-8.0</v>
      </c>
      <c r="B35" s="22">
        <v>10.7745</v>
      </c>
      <c r="C35" s="22">
        <v>10.7745</v>
      </c>
    </row>
    <row r="36">
      <c r="A36" s="22">
        <v>-10.0</v>
      </c>
      <c r="B36" s="22">
        <v>10.85158</v>
      </c>
      <c r="C36" s="22">
        <v>10.85158</v>
      </c>
    </row>
    <row r="37">
      <c r="A37" s="22">
        <v>-12.0</v>
      </c>
      <c r="B37" s="22">
        <v>10.94738</v>
      </c>
      <c r="C37" s="22">
        <v>10.94738</v>
      </c>
    </row>
    <row r="38">
      <c r="A38" s="22">
        <v>-14.0</v>
      </c>
      <c r="B38" s="22">
        <v>11.06277</v>
      </c>
      <c r="C38" s="22">
        <v>11.06277</v>
      </c>
    </row>
    <row r="39">
      <c r="A39" s="22">
        <v>-16.0</v>
      </c>
      <c r="B39" s="22">
        <v>11.19875</v>
      </c>
      <c r="C39" s="22">
        <v>11.19875</v>
      </c>
    </row>
    <row r="40">
      <c r="A40" s="22">
        <v>-18.0</v>
      </c>
      <c r="B40" s="22">
        <v>11.35652</v>
      </c>
      <c r="C40" s="22">
        <v>11.35652</v>
      </c>
    </row>
    <row r="41">
      <c r="A41" s="22">
        <v>-20.0</v>
      </c>
      <c r="B41" s="22">
        <v>11.53745</v>
      </c>
      <c r="C41" s="22">
        <v>11.53745</v>
      </c>
    </row>
    <row r="42">
      <c r="A42" s="22">
        <v>-22.0</v>
      </c>
      <c r="B42" s="22">
        <v>11.74316</v>
      </c>
      <c r="C42" s="22">
        <v>11.74316</v>
      </c>
    </row>
    <row r="43">
      <c r="A43" s="22">
        <v>-24.0</v>
      </c>
      <c r="B43" s="22">
        <v>11.97552</v>
      </c>
      <c r="C43" s="22">
        <v>11.97552</v>
      </c>
    </row>
    <row r="44">
      <c r="A44" s="22">
        <v>-26.0</v>
      </c>
      <c r="B44" s="22">
        <v>12.23674</v>
      </c>
      <c r="C44" s="22">
        <v>12.23674</v>
      </c>
    </row>
    <row r="45">
      <c r="A45" s="22">
        <v>-28.0</v>
      </c>
      <c r="B45" s="22">
        <v>12.52939</v>
      </c>
      <c r="C45" s="22">
        <v>12.52939</v>
      </c>
    </row>
    <row r="46">
      <c r="A46" s="22">
        <v>-30.0</v>
      </c>
      <c r="B46" s="22">
        <v>12.85648</v>
      </c>
      <c r="C46" s="22">
        <v>12.85648</v>
      </c>
    </row>
    <row r="47">
      <c r="A47" s="22">
        <v>-32.0</v>
      </c>
      <c r="B47" s="22">
        <v>13.22161</v>
      </c>
      <c r="C47" s="22">
        <v>13.22161</v>
      </c>
    </row>
    <row r="48">
      <c r="A48" s="22">
        <v>-34.0</v>
      </c>
      <c r="B48" s="22">
        <v>13.62904</v>
      </c>
      <c r="C48" s="22">
        <v>13.62904</v>
      </c>
    </row>
    <row r="49">
      <c r="A49" s="22">
        <v>-36.0</v>
      </c>
      <c r="B49" s="22">
        <v>14.08393</v>
      </c>
      <c r="C49" s="22">
        <v>14.08393</v>
      </c>
    </row>
    <row r="50">
      <c r="A50" s="22">
        <v>-38.0</v>
      </c>
      <c r="B50" s="22">
        <v>14.59253</v>
      </c>
      <c r="C50" s="22">
        <v>14.59253</v>
      </c>
    </row>
    <row r="51">
      <c r="A51" s="22">
        <v>-40.0</v>
      </c>
      <c r="B51" s="22">
        <v>15.1625</v>
      </c>
      <c r="C51" s="22">
        <v>15.1625</v>
      </c>
    </row>
    <row r="52">
      <c r="A52" s="22">
        <v>-42.0</v>
      </c>
      <c r="B52" s="22">
        <v>15.80345</v>
      </c>
      <c r="C52" s="22">
        <v>15.80345</v>
      </c>
    </row>
    <row r="53">
      <c r="A53" s="22">
        <v>-44.0</v>
      </c>
      <c r="B53" s="22">
        <v>16.52752</v>
      </c>
      <c r="C53" s="22">
        <v>16.52752</v>
      </c>
    </row>
    <row r="54">
      <c r="A54" s="22">
        <v>-46.0</v>
      </c>
      <c r="B54" s="22">
        <v>17.35042</v>
      </c>
      <c r="C54" s="22">
        <v>17.35042</v>
      </c>
    </row>
    <row r="55">
      <c r="A55" s="22">
        <v>-48.0</v>
      </c>
      <c r="B55" s="22">
        <v>18.29297</v>
      </c>
      <c r="C55" s="22">
        <v>18.29297</v>
      </c>
    </row>
    <row r="56">
      <c r="A56" s="22">
        <v>-50.0</v>
      </c>
      <c r="B56" s="22">
        <v>19.38356</v>
      </c>
      <c r="C56" s="22">
        <v>19.38356</v>
      </c>
    </row>
    <row r="57">
      <c r="A57" s="22">
        <v>-52.0</v>
      </c>
      <c r="B57" s="22">
        <v>20.66246</v>
      </c>
      <c r="C57" s="22">
        <v>20.66246</v>
      </c>
    </row>
    <row r="58">
      <c r="A58" s="22">
        <v>-54.0</v>
      </c>
      <c r="B58" s="22">
        <v>22.18958</v>
      </c>
      <c r="C58" s="22">
        <v>22.18958</v>
      </c>
    </row>
    <row r="59">
      <c r="A59" s="22">
        <v>-56.0</v>
      </c>
      <c r="B59" s="22">
        <v>24.06028</v>
      </c>
      <c r="C59" s="22">
        <v>24.06028</v>
      </c>
    </row>
  </sheetData>
  <mergeCells count="1">
    <mergeCell ref="A1:B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25"/>
  </cols>
  <sheetData>
    <row r="1">
      <c r="A1" s="18" t="s">
        <v>66</v>
      </c>
      <c r="C1" s="19"/>
    </row>
    <row r="2">
      <c r="A2" s="18" t="s">
        <v>67</v>
      </c>
      <c r="B2" s="18" t="s">
        <v>68</v>
      </c>
      <c r="C2" s="18" t="s">
        <v>69</v>
      </c>
      <c r="E2" s="20" t="s">
        <v>70</v>
      </c>
      <c r="F2" s="21">
        <f>MAX(C3:C231)-MIN(C3:C231)</f>
        <v>0.71063</v>
      </c>
    </row>
    <row r="3">
      <c r="A3" s="22">
        <v>228.0</v>
      </c>
      <c r="B3" s="22">
        <v>-1.31165</v>
      </c>
      <c r="C3" s="22">
        <v>-1.31165</v>
      </c>
    </row>
    <row r="4">
      <c r="A4" s="22">
        <v>226.0</v>
      </c>
      <c r="B4" s="22">
        <v>-1.30127</v>
      </c>
      <c r="C4" s="22">
        <v>-1.30127</v>
      </c>
    </row>
    <row r="5">
      <c r="A5" s="22">
        <v>224.0</v>
      </c>
      <c r="B5" s="22">
        <v>-1.29096</v>
      </c>
      <c r="C5" s="22">
        <v>-1.29096</v>
      </c>
    </row>
    <row r="6">
      <c r="A6" s="22">
        <v>222.0</v>
      </c>
      <c r="B6" s="22">
        <v>-1.28074</v>
      </c>
      <c r="C6" s="22">
        <v>-1.28074</v>
      </c>
    </row>
    <row r="7">
      <c r="A7" s="22">
        <v>220.0</v>
      </c>
      <c r="B7" s="22">
        <v>-1.2706</v>
      </c>
      <c r="C7" s="22">
        <v>-1.2706</v>
      </c>
    </row>
    <row r="8">
      <c r="A8" s="22">
        <v>218.0</v>
      </c>
      <c r="B8" s="22">
        <v>-1.26054</v>
      </c>
      <c r="C8" s="22">
        <v>-1.26054</v>
      </c>
    </row>
    <row r="9">
      <c r="A9" s="22">
        <v>216.0</v>
      </c>
      <c r="B9" s="22">
        <v>-1.25055</v>
      </c>
      <c r="C9" s="22">
        <v>-1.25055</v>
      </c>
    </row>
    <row r="10">
      <c r="A10" s="22">
        <v>214.0</v>
      </c>
      <c r="B10" s="22">
        <v>-1.24065</v>
      </c>
      <c r="C10" s="22">
        <v>-1.24065</v>
      </c>
    </row>
    <row r="11">
      <c r="A11" s="22">
        <v>212.0</v>
      </c>
      <c r="B11" s="22">
        <v>-1.23082</v>
      </c>
      <c r="C11" s="22">
        <v>-1.23082</v>
      </c>
    </row>
    <row r="12">
      <c r="A12" s="22">
        <v>210.0</v>
      </c>
      <c r="B12" s="22">
        <v>-1.22108</v>
      </c>
      <c r="C12" s="22">
        <v>-1.22108</v>
      </c>
    </row>
    <row r="13">
      <c r="A13" s="22">
        <v>208.0</v>
      </c>
      <c r="B13" s="22">
        <v>-1.21141</v>
      </c>
      <c r="C13" s="22">
        <v>-1.21141</v>
      </c>
    </row>
    <row r="14">
      <c r="A14" s="22">
        <v>206.0</v>
      </c>
      <c r="B14" s="22">
        <v>-1.20182</v>
      </c>
      <c r="C14" s="22">
        <v>-1.20182</v>
      </c>
    </row>
    <row r="15">
      <c r="A15" s="22">
        <v>204.0</v>
      </c>
      <c r="B15" s="22">
        <v>-1.1923</v>
      </c>
      <c r="C15" s="22">
        <v>-1.1923</v>
      </c>
    </row>
    <row r="16">
      <c r="A16" s="22">
        <v>202.0</v>
      </c>
      <c r="B16" s="22">
        <v>-1.18287</v>
      </c>
      <c r="C16" s="22">
        <v>-1.18287</v>
      </c>
    </row>
    <row r="17">
      <c r="A17" s="22">
        <v>200.0</v>
      </c>
      <c r="B17" s="22">
        <v>-1.17351</v>
      </c>
      <c r="C17" s="22">
        <v>-1.17351</v>
      </c>
    </row>
    <row r="18">
      <c r="A18" s="22">
        <v>198.0</v>
      </c>
      <c r="B18" s="22">
        <v>-1.16423</v>
      </c>
      <c r="C18" s="22">
        <v>-1.16423</v>
      </c>
    </row>
    <row r="19">
      <c r="A19" s="22">
        <v>196.0</v>
      </c>
      <c r="B19" s="22">
        <v>-1.15502</v>
      </c>
      <c r="C19" s="22">
        <v>-1.15502</v>
      </c>
    </row>
    <row r="20">
      <c r="A20" s="22">
        <v>194.0</v>
      </c>
      <c r="B20" s="22">
        <v>-1.14589</v>
      </c>
      <c r="C20" s="22">
        <v>-1.14589</v>
      </c>
    </row>
    <row r="21">
      <c r="A21" s="22">
        <v>192.0</v>
      </c>
      <c r="B21" s="22">
        <v>-1.13684</v>
      </c>
      <c r="C21" s="22">
        <v>-1.13684</v>
      </c>
    </row>
    <row r="22">
      <c r="A22" s="22">
        <v>190.0</v>
      </c>
      <c r="B22" s="22">
        <v>-1.12787</v>
      </c>
      <c r="C22" s="22">
        <v>-1.12787</v>
      </c>
    </row>
    <row r="23">
      <c r="A23" s="22">
        <v>188.0</v>
      </c>
      <c r="B23" s="22">
        <v>-1.11897</v>
      </c>
      <c r="C23" s="22">
        <v>-1.11897</v>
      </c>
    </row>
    <row r="24">
      <c r="A24" s="22">
        <v>186.0</v>
      </c>
      <c r="B24" s="22">
        <v>-1.11014</v>
      </c>
      <c r="C24" s="22">
        <v>-1.11014</v>
      </c>
    </row>
    <row r="25">
      <c r="A25" s="22">
        <v>184.0</v>
      </c>
      <c r="B25" s="22">
        <v>-1.1014</v>
      </c>
      <c r="C25" s="22">
        <v>-1.1014</v>
      </c>
    </row>
    <row r="26">
      <c r="A26" s="22">
        <v>182.0</v>
      </c>
      <c r="B26" s="22">
        <v>-1.09272</v>
      </c>
      <c r="C26" s="22">
        <v>-1.09272</v>
      </c>
    </row>
    <row r="27">
      <c r="A27" s="22">
        <v>180.0</v>
      </c>
      <c r="B27" s="22">
        <v>-1.08413</v>
      </c>
      <c r="C27" s="22">
        <v>-1.08413</v>
      </c>
    </row>
    <row r="28">
      <c r="A28" s="22">
        <v>178.0</v>
      </c>
      <c r="B28" s="22">
        <v>-1.07561</v>
      </c>
      <c r="C28" s="22">
        <v>-1.07561</v>
      </c>
    </row>
    <row r="29">
      <c r="A29" s="22">
        <v>176.0</v>
      </c>
      <c r="B29" s="22">
        <v>-1.06716</v>
      </c>
      <c r="C29" s="22">
        <v>-1.06716</v>
      </c>
    </row>
    <row r="30">
      <c r="A30" s="22">
        <v>174.0</v>
      </c>
      <c r="B30" s="22">
        <v>-1.05879</v>
      </c>
      <c r="C30" s="22">
        <v>-1.05879</v>
      </c>
    </row>
    <row r="31">
      <c r="A31" s="22">
        <v>172.0</v>
      </c>
      <c r="B31" s="22">
        <v>-1.0505</v>
      </c>
      <c r="C31" s="22">
        <v>-1.0505</v>
      </c>
    </row>
    <row r="32">
      <c r="A32" s="22">
        <v>170.0</v>
      </c>
      <c r="B32" s="22">
        <v>-1.04227</v>
      </c>
      <c r="C32" s="22">
        <v>-1.04227</v>
      </c>
    </row>
    <row r="33">
      <c r="A33" s="22">
        <v>168.0</v>
      </c>
      <c r="B33" s="22">
        <v>-1.03413</v>
      </c>
      <c r="C33" s="22">
        <v>-1.03413</v>
      </c>
    </row>
    <row r="34">
      <c r="A34" s="22">
        <v>166.0</v>
      </c>
      <c r="B34" s="22">
        <v>-1.02606</v>
      </c>
      <c r="C34" s="22">
        <v>-1.02606</v>
      </c>
    </row>
    <row r="35">
      <c r="A35" s="22">
        <v>164.0</v>
      </c>
      <c r="B35" s="22">
        <v>-1.01806</v>
      </c>
      <c r="C35" s="22">
        <v>-1.01806</v>
      </c>
    </row>
    <row r="36">
      <c r="A36" s="22">
        <v>162.0</v>
      </c>
      <c r="B36" s="22">
        <v>-1.01014</v>
      </c>
      <c r="C36" s="22">
        <v>-1.01014</v>
      </c>
    </row>
    <row r="37">
      <c r="A37" s="22">
        <v>160.0</v>
      </c>
      <c r="B37" s="22">
        <v>-1.00229</v>
      </c>
      <c r="C37" s="22">
        <v>-1.00229</v>
      </c>
    </row>
    <row r="38">
      <c r="A38" s="22">
        <v>158.0</v>
      </c>
      <c r="B38" s="22">
        <v>-0.99451</v>
      </c>
      <c r="C38" s="22">
        <v>-0.99451</v>
      </c>
    </row>
    <row r="39">
      <c r="A39" s="22">
        <v>156.0</v>
      </c>
      <c r="B39" s="22">
        <v>-0.98681</v>
      </c>
      <c r="C39" s="22">
        <v>-0.98681</v>
      </c>
    </row>
    <row r="40">
      <c r="A40" s="22">
        <v>154.0</v>
      </c>
      <c r="B40" s="22">
        <v>-0.97918</v>
      </c>
      <c r="C40" s="22">
        <v>-0.97918</v>
      </c>
    </row>
    <row r="41">
      <c r="A41" s="22">
        <v>152.0</v>
      </c>
      <c r="B41" s="22">
        <v>-0.97163</v>
      </c>
      <c r="C41" s="22">
        <v>-0.97163</v>
      </c>
    </row>
    <row r="42">
      <c r="A42" s="22">
        <v>150.0</v>
      </c>
      <c r="B42" s="22">
        <v>-0.96415</v>
      </c>
      <c r="C42" s="22">
        <v>-0.96415</v>
      </c>
    </row>
    <row r="43">
      <c r="A43" s="22">
        <v>148.0</v>
      </c>
      <c r="B43" s="22">
        <v>-0.95675</v>
      </c>
      <c r="C43" s="22">
        <v>-0.95675</v>
      </c>
    </row>
    <row r="44">
      <c r="A44" s="22">
        <v>146.0</v>
      </c>
      <c r="B44" s="22">
        <v>-0.94941</v>
      </c>
      <c r="C44" s="22">
        <v>-0.94941</v>
      </c>
    </row>
    <row r="45">
      <c r="A45" s="22">
        <v>144.0</v>
      </c>
      <c r="B45" s="22">
        <v>-0.94215</v>
      </c>
      <c r="C45" s="22">
        <v>-0.94215</v>
      </c>
    </row>
    <row r="46">
      <c r="A46" s="22">
        <v>142.0</v>
      </c>
      <c r="B46" s="22">
        <v>-0.93497</v>
      </c>
      <c r="C46" s="22">
        <v>-0.93497</v>
      </c>
    </row>
    <row r="47">
      <c r="A47" s="22">
        <v>140.0</v>
      </c>
      <c r="B47" s="22">
        <v>-0.92786</v>
      </c>
      <c r="C47" s="22">
        <v>-0.92786</v>
      </c>
    </row>
    <row r="48">
      <c r="A48" s="22">
        <v>138.0</v>
      </c>
      <c r="B48" s="22">
        <v>-0.92082</v>
      </c>
      <c r="C48" s="22">
        <v>-0.92082</v>
      </c>
    </row>
    <row r="49">
      <c r="A49" s="22">
        <v>136.0</v>
      </c>
      <c r="B49" s="22">
        <v>-0.91385</v>
      </c>
      <c r="C49" s="22">
        <v>-0.91385</v>
      </c>
    </row>
    <row r="50">
      <c r="A50" s="22">
        <v>134.0</v>
      </c>
      <c r="B50" s="22">
        <v>-0.90696</v>
      </c>
      <c r="C50" s="22">
        <v>-0.90696</v>
      </c>
    </row>
    <row r="51">
      <c r="A51" s="22">
        <v>132.0</v>
      </c>
      <c r="B51" s="22">
        <v>-0.90015</v>
      </c>
      <c r="C51" s="22">
        <v>-0.90015</v>
      </c>
    </row>
    <row r="52">
      <c r="A52" s="22">
        <v>130.0</v>
      </c>
      <c r="B52" s="22">
        <v>-0.8934</v>
      </c>
      <c r="C52" s="22">
        <v>-0.8934</v>
      </c>
    </row>
    <row r="53">
      <c r="A53" s="22">
        <v>128.0</v>
      </c>
      <c r="B53" s="22">
        <v>-0.88673</v>
      </c>
      <c r="C53" s="22">
        <v>-0.88673</v>
      </c>
    </row>
    <row r="54">
      <c r="A54" s="22">
        <v>126.0</v>
      </c>
      <c r="B54" s="22">
        <v>-0.88013</v>
      </c>
      <c r="C54" s="22">
        <v>-0.88013</v>
      </c>
    </row>
    <row r="55">
      <c r="A55" s="22">
        <v>124.0</v>
      </c>
      <c r="B55" s="22">
        <v>-0.87361</v>
      </c>
      <c r="C55" s="22">
        <v>-0.87361</v>
      </c>
    </row>
    <row r="56">
      <c r="A56" s="22">
        <v>122.0</v>
      </c>
      <c r="B56" s="22">
        <v>-0.86715</v>
      </c>
      <c r="C56" s="22">
        <v>-0.86715</v>
      </c>
    </row>
    <row r="57">
      <c r="A57" s="22">
        <v>120.0</v>
      </c>
      <c r="B57" s="22">
        <v>-0.86078</v>
      </c>
      <c r="C57" s="22">
        <v>-0.86078</v>
      </c>
    </row>
    <row r="58">
      <c r="A58" s="22">
        <v>118.0</v>
      </c>
      <c r="B58" s="22">
        <v>-0.85447</v>
      </c>
      <c r="C58" s="22">
        <v>-0.85447</v>
      </c>
    </row>
    <row r="59">
      <c r="A59" s="22">
        <v>116.0</v>
      </c>
      <c r="B59" s="22">
        <v>-0.84824</v>
      </c>
      <c r="C59" s="22">
        <v>-0.84824</v>
      </c>
    </row>
    <row r="60">
      <c r="A60" s="22">
        <v>114.0</v>
      </c>
      <c r="B60" s="22">
        <v>-0.84208</v>
      </c>
      <c r="C60" s="22">
        <v>-0.84208</v>
      </c>
    </row>
    <row r="61">
      <c r="A61" s="22">
        <v>112.0</v>
      </c>
      <c r="B61" s="22">
        <v>-0.836</v>
      </c>
      <c r="C61" s="22">
        <v>-0.836</v>
      </c>
    </row>
    <row r="62">
      <c r="A62" s="22">
        <v>110.0</v>
      </c>
      <c r="B62" s="22">
        <v>-0.82998</v>
      </c>
      <c r="C62" s="22">
        <v>-0.82998</v>
      </c>
    </row>
    <row r="63">
      <c r="A63" s="22">
        <v>108.0</v>
      </c>
      <c r="B63" s="22">
        <v>-0.82405</v>
      </c>
      <c r="C63" s="22">
        <v>-0.82405</v>
      </c>
    </row>
    <row r="64">
      <c r="A64" s="22">
        <v>106.0</v>
      </c>
      <c r="B64" s="22">
        <v>-0.81818</v>
      </c>
      <c r="C64" s="22">
        <v>-0.81818</v>
      </c>
    </row>
    <row r="65">
      <c r="A65" s="22">
        <v>104.0</v>
      </c>
      <c r="B65" s="22">
        <v>-0.81239</v>
      </c>
      <c r="C65" s="22">
        <v>-0.81239</v>
      </c>
    </row>
    <row r="66">
      <c r="A66" s="22">
        <v>102.0</v>
      </c>
      <c r="B66" s="22">
        <v>-0.80667</v>
      </c>
      <c r="C66" s="22">
        <v>-0.80667</v>
      </c>
    </row>
    <row r="67">
      <c r="A67" s="22">
        <v>100.0</v>
      </c>
      <c r="B67" s="22">
        <v>-0.80103</v>
      </c>
      <c r="C67" s="22">
        <v>-0.80103</v>
      </c>
    </row>
    <row r="68">
      <c r="A68" s="22">
        <v>98.0</v>
      </c>
      <c r="B68" s="22">
        <v>-0.79546</v>
      </c>
      <c r="C68" s="22">
        <v>-0.79546</v>
      </c>
    </row>
    <row r="69">
      <c r="A69" s="22">
        <v>96.0</v>
      </c>
      <c r="B69" s="22">
        <v>-0.78996</v>
      </c>
      <c r="C69" s="22">
        <v>-0.78996</v>
      </c>
    </row>
    <row r="70">
      <c r="A70" s="22">
        <v>94.0</v>
      </c>
      <c r="B70" s="22">
        <v>-0.78454</v>
      </c>
      <c r="C70" s="22">
        <v>-0.78454</v>
      </c>
    </row>
    <row r="71">
      <c r="A71" s="22">
        <v>92.0</v>
      </c>
      <c r="B71" s="22">
        <v>-0.77919</v>
      </c>
      <c r="C71" s="22">
        <v>-0.77919</v>
      </c>
    </row>
    <row r="72">
      <c r="A72" s="22">
        <v>90.0</v>
      </c>
      <c r="B72" s="22">
        <v>-0.77392</v>
      </c>
      <c r="C72" s="22">
        <v>-0.77392</v>
      </c>
    </row>
    <row r="73">
      <c r="A73" s="22">
        <v>88.0</v>
      </c>
      <c r="B73" s="22">
        <v>-0.76872</v>
      </c>
      <c r="C73" s="22">
        <v>-0.76872</v>
      </c>
    </row>
    <row r="74">
      <c r="A74" s="22">
        <v>86.0</v>
      </c>
      <c r="B74" s="22">
        <v>-0.76359</v>
      </c>
      <c r="C74" s="22">
        <v>-0.76359</v>
      </c>
    </row>
    <row r="75">
      <c r="A75" s="22">
        <v>84.0</v>
      </c>
      <c r="B75" s="22">
        <v>-0.75854</v>
      </c>
      <c r="C75" s="22">
        <v>-0.75854</v>
      </c>
    </row>
    <row r="76">
      <c r="A76" s="22">
        <v>82.0</v>
      </c>
      <c r="B76" s="22">
        <v>-0.75357</v>
      </c>
      <c r="C76" s="22">
        <v>-0.75357</v>
      </c>
    </row>
    <row r="77">
      <c r="A77" s="22">
        <v>80.0</v>
      </c>
      <c r="B77" s="22">
        <v>-0.74866</v>
      </c>
      <c r="C77" s="22">
        <v>-0.74866</v>
      </c>
    </row>
    <row r="78">
      <c r="A78" s="22">
        <v>78.0</v>
      </c>
      <c r="B78" s="22">
        <v>-0.74384</v>
      </c>
      <c r="C78" s="22">
        <v>-0.74384</v>
      </c>
    </row>
    <row r="79">
      <c r="A79" s="22">
        <v>76.0</v>
      </c>
      <c r="B79" s="22">
        <v>-0.73909</v>
      </c>
      <c r="C79" s="22">
        <v>-0.73909</v>
      </c>
    </row>
    <row r="80">
      <c r="A80" s="22">
        <v>74.0</v>
      </c>
      <c r="B80" s="22">
        <v>-0.73441</v>
      </c>
      <c r="C80" s="22">
        <v>-0.73441</v>
      </c>
    </row>
    <row r="81">
      <c r="A81" s="22">
        <v>72.0</v>
      </c>
      <c r="B81" s="22">
        <v>-0.72981</v>
      </c>
      <c r="C81" s="22">
        <v>-0.72981</v>
      </c>
    </row>
    <row r="82">
      <c r="A82" s="22">
        <v>70.0</v>
      </c>
      <c r="B82" s="22">
        <v>-0.72528</v>
      </c>
      <c r="C82" s="22">
        <v>-0.72528</v>
      </c>
    </row>
    <row r="83">
      <c r="A83" s="22">
        <v>68.0</v>
      </c>
      <c r="B83" s="22">
        <v>-0.72083</v>
      </c>
      <c r="C83" s="22">
        <v>-0.72083</v>
      </c>
    </row>
    <row r="84">
      <c r="A84" s="22">
        <v>66.0</v>
      </c>
      <c r="B84" s="22">
        <v>-0.71646</v>
      </c>
      <c r="C84" s="22">
        <v>-0.71646</v>
      </c>
    </row>
    <row r="85">
      <c r="A85" s="22">
        <v>64.0</v>
      </c>
      <c r="B85" s="22">
        <v>-0.71216</v>
      </c>
      <c r="C85" s="22">
        <v>-0.71216</v>
      </c>
    </row>
    <row r="86">
      <c r="A86" s="22">
        <v>62.0</v>
      </c>
      <c r="B86" s="22">
        <v>-0.70794</v>
      </c>
      <c r="C86" s="22">
        <v>-0.70794</v>
      </c>
    </row>
    <row r="87">
      <c r="A87" s="22">
        <v>60.0</v>
      </c>
      <c r="B87" s="22">
        <v>-0.7038</v>
      </c>
      <c r="C87" s="22">
        <v>-0.7038</v>
      </c>
    </row>
    <row r="88">
      <c r="A88" s="22">
        <v>58.0</v>
      </c>
      <c r="B88" s="22">
        <v>-0.69973</v>
      </c>
      <c r="C88" s="22">
        <v>-0.69973</v>
      </c>
    </row>
    <row r="89">
      <c r="A89" s="22">
        <v>56.0</v>
      </c>
      <c r="B89" s="22">
        <v>-0.69574</v>
      </c>
      <c r="C89" s="22">
        <v>-0.69574</v>
      </c>
    </row>
    <row r="90">
      <c r="A90" s="22">
        <v>54.0</v>
      </c>
      <c r="B90" s="22">
        <v>-0.69182</v>
      </c>
      <c r="C90" s="22">
        <v>-0.69182</v>
      </c>
    </row>
    <row r="91">
      <c r="A91" s="22">
        <v>52.0</v>
      </c>
      <c r="B91" s="22">
        <v>-0.68799</v>
      </c>
      <c r="C91" s="22">
        <v>-0.68799</v>
      </c>
    </row>
    <row r="92">
      <c r="A92" s="22">
        <v>50.0</v>
      </c>
      <c r="B92" s="22">
        <v>-0.68423</v>
      </c>
      <c r="C92" s="22">
        <v>-0.68423</v>
      </c>
    </row>
    <row r="93">
      <c r="A93" s="22">
        <v>48.0</v>
      </c>
      <c r="B93" s="22">
        <v>-0.68055</v>
      </c>
      <c r="C93" s="22">
        <v>-0.68055</v>
      </c>
    </row>
    <row r="94">
      <c r="A94" s="22">
        <v>46.0</v>
      </c>
      <c r="B94" s="22">
        <v>-0.67694</v>
      </c>
      <c r="C94" s="22">
        <v>-0.67694</v>
      </c>
    </row>
    <row r="95">
      <c r="A95" s="22">
        <v>44.0</v>
      </c>
      <c r="B95" s="22">
        <v>-0.67342</v>
      </c>
      <c r="C95" s="22">
        <v>-0.67342</v>
      </c>
    </row>
    <row r="96">
      <c r="A96" s="22">
        <v>42.0</v>
      </c>
      <c r="B96" s="22">
        <v>-0.66997</v>
      </c>
      <c r="C96" s="22">
        <v>-0.66997</v>
      </c>
    </row>
    <row r="97">
      <c r="A97" s="22">
        <v>40.0</v>
      </c>
      <c r="B97" s="22">
        <v>-0.66661</v>
      </c>
      <c r="C97" s="22">
        <v>-0.66661</v>
      </c>
    </row>
    <row r="98">
      <c r="A98" s="22">
        <v>38.0</v>
      </c>
      <c r="B98" s="22">
        <v>-0.66332</v>
      </c>
      <c r="C98" s="22">
        <v>-0.66332</v>
      </c>
    </row>
    <row r="99">
      <c r="A99" s="22">
        <v>36.0</v>
      </c>
      <c r="B99" s="22">
        <v>-0.66011</v>
      </c>
      <c r="C99" s="22">
        <v>-0.66011</v>
      </c>
    </row>
    <row r="100">
      <c r="A100" s="22">
        <v>34.0</v>
      </c>
      <c r="B100" s="22">
        <v>-0.65698</v>
      </c>
      <c r="C100" s="22">
        <v>-0.65698</v>
      </c>
    </row>
    <row r="101">
      <c r="A101" s="22">
        <v>32.0</v>
      </c>
      <c r="B101" s="22">
        <v>-0.65394</v>
      </c>
      <c r="C101" s="22">
        <v>-0.65394</v>
      </c>
    </row>
    <row r="102">
      <c r="A102" s="22">
        <v>30.0</v>
      </c>
      <c r="B102" s="22">
        <v>-0.65097</v>
      </c>
      <c r="C102" s="22">
        <v>-0.65097</v>
      </c>
    </row>
    <row r="103">
      <c r="A103" s="22">
        <v>28.0</v>
      </c>
      <c r="B103" s="22">
        <v>-0.64808</v>
      </c>
      <c r="C103" s="22">
        <v>-0.64808</v>
      </c>
    </row>
    <row r="104">
      <c r="A104" s="22">
        <v>26.0</v>
      </c>
      <c r="B104" s="22">
        <v>-0.64528</v>
      </c>
      <c r="C104" s="22">
        <v>-0.64528</v>
      </c>
    </row>
    <row r="105">
      <c r="A105" s="22">
        <v>24.0</v>
      </c>
      <c r="B105" s="22">
        <v>-0.64255</v>
      </c>
      <c r="C105" s="22">
        <v>-0.64255</v>
      </c>
    </row>
    <row r="106">
      <c r="A106" s="22">
        <v>22.0</v>
      </c>
      <c r="B106" s="22">
        <v>-0.63991</v>
      </c>
      <c r="C106" s="22">
        <v>-0.63991</v>
      </c>
    </row>
    <row r="107">
      <c r="A107" s="22">
        <v>20.0</v>
      </c>
      <c r="B107" s="22">
        <v>-0.63735</v>
      </c>
      <c r="C107" s="22">
        <v>-0.63735</v>
      </c>
    </row>
    <row r="108">
      <c r="A108" s="22">
        <v>18.0</v>
      </c>
      <c r="B108" s="22">
        <v>-0.63488</v>
      </c>
      <c r="C108" s="22">
        <v>-0.63488</v>
      </c>
    </row>
    <row r="109">
      <c r="A109" s="22">
        <v>16.0</v>
      </c>
      <c r="B109" s="22">
        <v>-0.63248</v>
      </c>
      <c r="C109" s="22">
        <v>-0.63248</v>
      </c>
    </row>
    <row r="110">
      <c r="A110" s="22">
        <v>14.0</v>
      </c>
      <c r="B110" s="22">
        <v>-0.63017</v>
      </c>
      <c r="C110" s="22">
        <v>-0.63017</v>
      </c>
    </row>
    <row r="111">
      <c r="A111" s="22">
        <v>12.0</v>
      </c>
      <c r="B111" s="22">
        <v>-0.62795</v>
      </c>
      <c r="C111" s="22">
        <v>-0.62795</v>
      </c>
    </row>
    <row r="112">
      <c r="A112" s="22">
        <v>10.0</v>
      </c>
      <c r="B112" s="22">
        <v>-0.62581</v>
      </c>
      <c r="C112" s="22">
        <v>-0.62581</v>
      </c>
    </row>
    <row r="113">
      <c r="A113" s="22">
        <v>8.0</v>
      </c>
      <c r="B113" s="22">
        <v>-0.62375</v>
      </c>
      <c r="C113" s="22">
        <v>-0.62375</v>
      </c>
    </row>
    <row r="114">
      <c r="A114" s="22">
        <v>6.0</v>
      </c>
      <c r="B114" s="22">
        <v>-0.62178</v>
      </c>
      <c r="C114" s="22">
        <v>-0.62178</v>
      </c>
    </row>
    <row r="115">
      <c r="A115" s="22">
        <v>4.0</v>
      </c>
      <c r="B115" s="22">
        <v>-0.61989</v>
      </c>
      <c r="C115" s="22">
        <v>-0.61989</v>
      </c>
    </row>
    <row r="116">
      <c r="A116" s="22">
        <v>2.0</v>
      </c>
      <c r="B116" s="22">
        <v>-0.6181</v>
      </c>
      <c r="C116" s="22">
        <v>-0.6181</v>
      </c>
    </row>
    <row r="117">
      <c r="A117" s="22">
        <v>0.0</v>
      </c>
      <c r="B117" s="22">
        <v>-0.61638</v>
      </c>
      <c r="C117" s="22">
        <v>-0.61638</v>
      </c>
    </row>
    <row r="118">
      <c r="A118" s="22">
        <v>-2.0</v>
      </c>
      <c r="B118" s="22">
        <v>-0.61476</v>
      </c>
      <c r="C118" s="22">
        <v>-0.61476</v>
      </c>
    </row>
    <row r="119">
      <c r="A119" s="22">
        <v>-4.0</v>
      </c>
      <c r="B119" s="22">
        <v>-0.61322</v>
      </c>
      <c r="C119" s="22">
        <v>-0.61322</v>
      </c>
    </row>
    <row r="120">
      <c r="A120" s="22">
        <v>-6.0</v>
      </c>
      <c r="B120" s="22">
        <v>-0.61177</v>
      </c>
      <c r="C120" s="22">
        <v>-0.61177</v>
      </c>
    </row>
    <row r="121">
      <c r="A121" s="22">
        <v>-8.0</v>
      </c>
      <c r="B121" s="22">
        <v>-0.61041</v>
      </c>
      <c r="C121" s="22">
        <v>-0.61041</v>
      </c>
    </row>
    <row r="122">
      <c r="A122" s="22">
        <v>-10.0</v>
      </c>
      <c r="B122" s="22">
        <v>-0.60914</v>
      </c>
      <c r="C122" s="22">
        <v>-0.60914</v>
      </c>
    </row>
    <row r="123">
      <c r="A123" s="22">
        <v>-12.0</v>
      </c>
      <c r="B123" s="22">
        <v>-0.60796</v>
      </c>
      <c r="C123" s="22">
        <v>-0.60796</v>
      </c>
    </row>
    <row r="124">
      <c r="A124" s="22">
        <v>-14.0</v>
      </c>
      <c r="B124" s="22">
        <v>-0.60687</v>
      </c>
      <c r="C124" s="22">
        <v>-0.60687</v>
      </c>
    </row>
    <row r="125">
      <c r="A125" s="22">
        <v>-16.0</v>
      </c>
      <c r="B125" s="22">
        <v>-0.60587</v>
      </c>
      <c r="C125" s="22">
        <v>-0.60587</v>
      </c>
    </row>
    <row r="126">
      <c r="A126" s="22">
        <v>-18.0</v>
      </c>
      <c r="B126" s="22">
        <v>-0.60496</v>
      </c>
      <c r="C126" s="22">
        <v>-0.60496</v>
      </c>
    </row>
    <row r="127">
      <c r="A127" s="22">
        <v>-20.0</v>
      </c>
      <c r="B127" s="22">
        <v>-0.60415</v>
      </c>
      <c r="C127" s="22">
        <v>-0.60415</v>
      </c>
    </row>
    <row r="128">
      <c r="A128" s="22">
        <v>-22.0</v>
      </c>
      <c r="B128" s="22">
        <v>-0.60342</v>
      </c>
      <c r="C128" s="22">
        <v>-0.60342</v>
      </c>
    </row>
    <row r="129">
      <c r="A129" s="22">
        <v>-24.0</v>
      </c>
      <c r="B129" s="22">
        <v>-0.60279</v>
      </c>
      <c r="C129" s="22">
        <v>-0.60279</v>
      </c>
    </row>
    <row r="130">
      <c r="A130" s="22">
        <v>-26.0</v>
      </c>
      <c r="B130" s="22">
        <v>-0.60226</v>
      </c>
      <c r="C130" s="22">
        <v>-0.60226</v>
      </c>
    </row>
    <row r="131">
      <c r="A131" s="22">
        <v>-28.0</v>
      </c>
      <c r="B131" s="22">
        <v>-0.60182</v>
      </c>
      <c r="C131" s="22">
        <v>-0.60182</v>
      </c>
    </row>
    <row r="132">
      <c r="A132" s="22">
        <v>-30.0</v>
      </c>
      <c r="B132" s="22">
        <v>-0.60148</v>
      </c>
      <c r="C132" s="22">
        <v>-0.60148</v>
      </c>
    </row>
    <row r="133">
      <c r="A133" s="22">
        <v>-32.0</v>
      </c>
      <c r="B133" s="22">
        <v>-0.60123</v>
      </c>
      <c r="C133" s="22">
        <v>-0.60123</v>
      </c>
    </row>
    <row r="134">
      <c r="A134" s="22">
        <v>-34.0</v>
      </c>
      <c r="B134" s="22">
        <v>-0.60108</v>
      </c>
      <c r="C134" s="22">
        <v>-0.60108</v>
      </c>
    </row>
    <row r="135">
      <c r="A135" s="22">
        <v>-36.0</v>
      </c>
      <c r="B135" s="22">
        <v>-0.60102</v>
      </c>
      <c r="C135" s="22">
        <v>-0.60102</v>
      </c>
    </row>
    <row r="136">
      <c r="A136" s="22">
        <v>-38.0</v>
      </c>
      <c r="B136" s="22">
        <v>-0.60107</v>
      </c>
      <c r="C136" s="22">
        <v>-0.60107</v>
      </c>
    </row>
    <row r="137">
      <c r="A137" s="22">
        <v>-40.0</v>
      </c>
      <c r="B137" s="22">
        <v>-0.60121</v>
      </c>
      <c r="C137" s="22">
        <v>-0.60121</v>
      </c>
    </row>
    <row r="138">
      <c r="A138" s="22">
        <v>-42.0</v>
      </c>
      <c r="B138" s="22">
        <v>-0.60146</v>
      </c>
      <c r="C138" s="22">
        <v>-0.60146</v>
      </c>
    </row>
    <row r="139">
      <c r="A139" s="22">
        <v>-44.0</v>
      </c>
      <c r="B139" s="22">
        <v>-0.6018</v>
      </c>
      <c r="C139" s="22">
        <v>-0.6018</v>
      </c>
    </row>
    <row r="140">
      <c r="A140" s="22">
        <v>-46.0</v>
      </c>
      <c r="B140" s="22">
        <v>-0.60225</v>
      </c>
      <c r="C140" s="22">
        <v>-0.60225</v>
      </c>
    </row>
    <row r="141">
      <c r="A141" s="22">
        <v>-48.0</v>
      </c>
      <c r="B141" s="22">
        <v>-0.6028</v>
      </c>
      <c r="C141" s="22">
        <v>-0.6028</v>
      </c>
    </row>
    <row r="142">
      <c r="A142" s="22">
        <v>-50.0</v>
      </c>
      <c r="B142" s="22">
        <v>-0.60345</v>
      </c>
      <c r="C142" s="22">
        <v>-0.60345</v>
      </c>
    </row>
    <row r="143">
      <c r="A143" s="22">
        <v>-52.0</v>
      </c>
      <c r="B143" s="22">
        <v>-0.60421</v>
      </c>
      <c r="C143" s="22">
        <v>-0.60421</v>
      </c>
    </row>
    <row r="144">
      <c r="A144" s="22">
        <v>-54.0</v>
      </c>
      <c r="B144" s="22">
        <v>-0.60507</v>
      </c>
      <c r="C144" s="22">
        <v>-0.60507</v>
      </c>
    </row>
    <row r="145">
      <c r="A145" s="22">
        <v>-56.0</v>
      </c>
      <c r="B145" s="22">
        <v>-0.60604</v>
      </c>
      <c r="C145" s="22">
        <v>-0.60604</v>
      </c>
    </row>
    <row r="146">
      <c r="A146" s="22">
        <v>-58.0</v>
      </c>
      <c r="B146" s="22">
        <v>-0.60711</v>
      </c>
      <c r="C146" s="22">
        <v>-0.60711</v>
      </c>
    </row>
    <row r="147">
      <c r="A147" s="22">
        <v>-60.0</v>
      </c>
      <c r="B147" s="22">
        <v>-0.6083</v>
      </c>
      <c r="C147" s="22">
        <v>-0.6083</v>
      </c>
    </row>
    <row r="148">
      <c r="A148" s="22">
        <v>-62.0</v>
      </c>
      <c r="B148" s="22">
        <v>-0.60959</v>
      </c>
      <c r="C148" s="22">
        <v>-0.60959</v>
      </c>
    </row>
    <row r="149">
      <c r="A149" s="22">
        <v>-64.0</v>
      </c>
      <c r="B149" s="22">
        <v>-0.61099</v>
      </c>
      <c r="C149" s="22">
        <v>-0.61099</v>
      </c>
    </row>
    <row r="150">
      <c r="A150" s="22">
        <v>-66.0</v>
      </c>
      <c r="B150" s="22">
        <v>-0.6125</v>
      </c>
      <c r="C150" s="22">
        <v>-0.6125</v>
      </c>
    </row>
    <row r="151">
      <c r="A151" s="22">
        <v>-68.0</v>
      </c>
      <c r="B151" s="22">
        <v>-0.61413</v>
      </c>
      <c r="C151" s="22">
        <v>-0.61413</v>
      </c>
    </row>
    <row r="152">
      <c r="A152" s="22">
        <v>-70.0</v>
      </c>
      <c r="B152" s="22">
        <v>-0.61586</v>
      </c>
      <c r="C152" s="22">
        <v>-0.61586</v>
      </c>
    </row>
    <row r="153">
      <c r="A153" s="22">
        <v>-72.0</v>
      </c>
      <c r="B153" s="22">
        <v>-0.61772</v>
      </c>
      <c r="C153" s="22">
        <v>-0.61772</v>
      </c>
    </row>
    <row r="154">
      <c r="A154" s="22">
        <v>-74.0</v>
      </c>
      <c r="B154" s="22">
        <v>-0.61968</v>
      </c>
      <c r="C154" s="22">
        <v>-0.61968</v>
      </c>
    </row>
    <row r="155">
      <c r="A155" s="22">
        <v>-76.0</v>
      </c>
      <c r="B155" s="22">
        <v>-0.62176</v>
      </c>
      <c r="C155" s="22">
        <v>-0.62176</v>
      </c>
    </row>
    <row r="156">
      <c r="A156" s="22">
        <v>-78.0</v>
      </c>
      <c r="B156" s="22">
        <v>-0.62397</v>
      </c>
      <c r="C156" s="22">
        <v>-0.62397</v>
      </c>
    </row>
    <row r="157">
      <c r="A157" s="22">
        <v>-80.0</v>
      </c>
      <c r="B157" s="22">
        <v>-0.62628</v>
      </c>
      <c r="C157" s="22">
        <v>-0.62628</v>
      </c>
    </row>
    <row r="158">
      <c r="A158" s="22">
        <v>-82.0</v>
      </c>
      <c r="B158" s="22">
        <v>-0.62872</v>
      </c>
      <c r="C158" s="22">
        <v>-0.62872</v>
      </c>
    </row>
    <row r="159">
      <c r="A159" s="22">
        <v>-84.0</v>
      </c>
      <c r="B159" s="22">
        <v>-0.63128</v>
      </c>
      <c r="C159" s="22">
        <v>-0.63128</v>
      </c>
    </row>
    <row r="160">
      <c r="A160" s="22">
        <v>-86.0</v>
      </c>
      <c r="B160" s="22">
        <v>-0.63397</v>
      </c>
      <c r="C160" s="22">
        <v>-0.63397</v>
      </c>
    </row>
    <row r="161">
      <c r="A161" s="22">
        <v>-88.0</v>
      </c>
      <c r="B161" s="22">
        <v>-0.63677</v>
      </c>
      <c r="C161" s="22">
        <v>-0.63677</v>
      </c>
    </row>
    <row r="162">
      <c r="A162" s="22">
        <v>-90.0</v>
      </c>
      <c r="B162" s="22">
        <v>-0.6397</v>
      </c>
      <c r="C162" s="22">
        <v>-0.6397</v>
      </c>
    </row>
    <row r="163">
      <c r="A163" s="22">
        <v>-92.0</v>
      </c>
      <c r="B163" s="22">
        <v>-0.64276</v>
      </c>
      <c r="C163" s="22">
        <v>-0.64276</v>
      </c>
    </row>
    <row r="164">
      <c r="A164" s="22">
        <v>-94.0</v>
      </c>
      <c r="B164" s="22">
        <v>-0.64595</v>
      </c>
      <c r="C164" s="22">
        <v>-0.64595</v>
      </c>
    </row>
    <row r="165">
      <c r="A165" s="22">
        <v>-96.0</v>
      </c>
      <c r="B165" s="22">
        <v>-0.64926</v>
      </c>
      <c r="C165" s="22">
        <v>-0.64926</v>
      </c>
    </row>
    <row r="166">
      <c r="A166" s="22">
        <v>-98.0</v>
      </c>
      <c r="B166" s="22">
        <v>-0.65271</v>
      </c>
      <c r="C166" s="22">
        <v>-0.65271</v>
      </c>
    </row>
    <row r="167">
      <c r="A167" s="22">
        <v>-100.0</v>
      </c>
      <c r="B167" s="22">
        <v>-0.65629</v>
      </c>
      <c r="C167" s="22">
        <v>-0.65629</v>
      </c>
    </row>
    <row r="168">
      <c r="A168" s="22">
        <v>-102.0</v>
      </c>
      <c r="B168" s="22">
        <v>-0.66</v>
      </c>
      <c r="C168" s="22">
        <v>-0.66</v>
      </c>
    </row>
    <row r="169">
      <c r="A169" s="22">
        <v>-104.0</v>
      </c>
      <c r="B169" s="22">
        <v>-0.66384</v>
      </c>
      <c r="C169" s="22">
        <v>-0.66384</v>
      </c>
    </row>
    <row r="170">
      <c r="A170" s="22">
        <v>-106.0</v>
      </c>
      <c r="B170" s="22">
        <v>-0.66783</v>
      </c>
      <c r="C170" s="22">
        <v>-0.66783</v>
      </c>
    </row>
    <row r="171">
      <c r="A171" s="22">
        <v>-108.0</v>
      </c>
      <c r="B171" s="22">
        <v>-0.67195</v>
      </c>
      <c r="C171" s="22">
        <v>-0.67195</v>
      </c>
    </row>
    <row r="172">
      <c r="A172" s="22">
        <v>-110.0</v>
      </c>
      <c r="B172" s="22">
        <v>-0.67621</v>
      </c>
      <c r="C172" s="22">
        <v>-0.67621</v>
      </c>
    </row>
    <row r="173">
      <c r="A173" s="22">
        <v>-112.0</v>
      </c>
      <c r="B173" s="22">
        <v>-0.68061</v>
      </c>
      <c r="C173" s="22">
        <v>-0.68061</v>
      </c>
    </row>
    <row r="174">
      <c r="A174" s="22">
        <v>-114.0</v>
      </c>
      <c r="B174" s="22">
        <v>-0.68516</v>
      </c>
      <c r="C174" s="22">
        <v>-0.68516</v>
      </c>
    </row>
    <row r="175">
      <c r="A175" s="22">
        <v>-116.0</v>
      </c>
      <c r="B175" s="22">
        <v>-0.68985</v>
      </c>
      <c r="C175" s="22">
        <v>-0.68985</v>
      </c>
    </row>
    <row r="176">
      <c r="A176" s="22">
        <v>-118.0</v>
      </c>
      <c r="B176" s="22">
        <v>-0.69469</v>
      </c>
      <c r="C176" s="22">
        <v>-0.69469</v>
      </c>
    </row>
    <row r="177">
      <c r="A177" s="22">
        <v>-120.0</v>
      </c>
      <c r="B177" s="22">
        <v>-0.69968</v>
      </c>
      <c r="C177" s="22">
        <v>-0.69968</v>
      </c>
    </row>
    <row r="178">
      <c r="A178" s="22">
        <v>-122.0</v>
      </c>
      <c r="B178" s="22">
        <v>-0.70481</v>
      </c>
      <c r="C178" s="22">
        <v>-0.70481</v>
      </c>
    </row>
    <row r="179">
      <c r="A179" s="22">
        <v>-124.0</v>
      </c>
      <c r="B179" s="22">
        <v>-0.71011</v>
      </c>
      <c r="C179" s="22">
        <v>-0.71011</v>
      </c>
    </row>
    <row r="180">
      <c r="A180" s="22">
        <v>-126.0</v>
      </c>
      <c r="B180" s="22">
        <v>-0.71555</v>
      </c>
      <c r="C180" s="22">
        <v>-0.71555</v>
      </c>
    </row>
    <row r="181">
      <c r="A181" s="22">
        <v>-128.0</v>
      </c>
      <c r="B181" s="22">
        <v>-0.72115</v>
      </c>
      <c r="C181" s="22">
        <v>-0.72115</v>
      </c>
    </row>
    <row r="182">
      <c r="A182" s="22">
        <v>-130.0</v>
      </c>
      <c r="B182" s="22">
        <v>-0.72692</v>
      </c>
      <c r="C182" s="22">
        <v>-0.72692</v>
      </c>
    </row>
    <row r="183">
      <c r="A183" s="22">
        <v>-132.0</v>
      </c>
      <c r="B183" s="22">
        <v>-0.73284</v>
      </c>
      <c r="C183" s="22">
        <v>-0.73284</v>
      </c>
    </row>
    <row r="184">
      <c r="A184" s="22">
        <v>-134.0</v>
      </c>
      <c r="B184" s="22">
        <v>-0.73892</v>
      </c>
      <c r="C184" s="22">
        <v>-0.73892</v>
      </c>
    </row>
    <row r="185">
      <c r="A185" s="22">
        <v>-136.0</v>
      </c>
      <c r="B185" s="22">
        <v>-0.74517</v>
      </c>
      <c r="C185" s="22">
        <v>-0.74517</v>
      </c>
    </row>
    <row r="186">
      <c r="A186" s="22">
        <v>-138.0</v>
      </c>
      <c r="B186" s="22">
        <v>-0.75159</v>
      </c>
      <c r="C186" s="22">
        <v>-0.75159</v>
      </c>
    </row>
    <row r="187">
      <c r="A187" s="22">
        <v>-140.0</v>
      </c>
      <c r="B187" s="22">
        <v>-0.75818</v>
      </c>
      <c r="C187" s="22">
        <v>-0.75818</v>
      </c>
    </row>
    <row r="188">
      <c r="A188" s="22">
        <v>-142.0</v>
      </c>
      <c r="B188" s="22">
        <v>-0.76494</v>
      </c>
      <c r="C188" s="22">
        <v>-0.76494</v>
      </c>
    </row>
    <row r="189">
      <c r="A189" s="22">
        <v>-144.0</v>
      </c>
      <c r="B189" s="22">
        <v>-0.77188</v>
      </c>
      <c r="C189" s="22">
        <v>-0.77188</v>
      </c>
    </row>
    <row r="190">
      <c r="A190" s="22">
        <v>-146.0</v>
      </c>
      <c r="B190" s="22">
        <v>-0.77899</v>
      </c>
      <c r="C190" s="22">
        <v>-0.77899</v>
      </c>
    </row>
    <row r="191">
      <c r="A191" s="22">
        <v>-148.0</v>
      </c>
      <c r="B191" s="22">
        <v>-0.78629</v>
      </c>
      <c r="C191" s="22">
        <v>-0.78629</v>
      </c>
    </row>
    <row r="192">
      <c r="A192" s="22">
        <v>-150.0</v>
      </c>
      <c r="B192" s="22">
        <v>-0.79376</v>
      </c>
      <c r="C192" s="22">
        <v>-0.79376</v>
      </c>
    </row>
    <row r="193">
      <c r="A193" s="22">
        <v>-152.0</v>
      </c>
      <c r="B193" s="22">
        <v>-0.80142</v>
      </c>
      <c r="C193" s="22">
        <v>-0.80142</v>
      </c>
    </row>
    <row r="194">
      <c r="A194" s="22">
        <v>-154.0</v>
      </c>
      <c r="B194" s="22">
        <v>-0.80927</v>
      </c>
      <c r="C194" s="22">
        <v>-0.80927</v>
      </c>
    </row>
    <row r="195">
      <c r="A195" s="22">
        <v>-156.0</v>
      </c>
      <c r="B195" s="22">
        <v>-0.81731</v>
      </c>
      <c r="C195" s="22">
        <v>-0.81731</v>
      </c>
    </row>
    <row r="196">
      <c r="A196" s="22">
        <v>-158.0</v>
      </c>
      <c r="B196" s="22">
        <v>-0.82555</v>
      </c>
      <c r="C196" s="22">
        <v>-0.82555</v>
      </c>
    </row>
    <row r="197">
      <c r="A197" s="22">
        <v>-160.0</v>
      </c>
      <c r="B197" s="22">
        <v>-0.83398</v>
      </c>
      <c r="C197" s="22">
        <v>-0.83398</v>
      </c>
    </row>
    <row r="198">
      <c r="A198" s="22">
        <v>-162.0</v>
      </c>
      <c r="B198" s="22">
        <v>-0.84261</v>
      </c>
      <c r="C198" s="22">
        <v>-0.84261</v>
      </c>
    </row>
    <row r="199">
      <c r="A199" s="22">
        <v>-164.0</v>
      </c>
      <c r="B199" s="22">
        <v>-0.85145</v>
      </c>
      <c r="C199" s="22">
        <v>-0.85145</v>
      </c>
    </row>
    <row r="200">
      <c r="A200" s="22">
        <v>-166.0</v>
      </c>
      <c r="B200" s="22">
        <v>-0.86049</v>
      </c>
      <c r="C200" s="22">
        <v>-0.86049</v>
      </c>
    </row>
    <row r="201">
      <c r="A201" s="22">
        <v>-168.0</v>
      </c>
      <c r="B201" s="22">
        <v>-0.86974</v>
      </c>
      <c r="C201" s="22">
        <v>-0.86974</v>
      </c>
    </row>
    <row r="202">
      <c r="A202" s="22">
        <v>-170.0</v>
      </c>
      <c r="B202" s="22">
        <v>-0.8792</v>
      </c>
      <c r="C202" s="22">
        <v>-0.8792</v>
      </c>
    </row>
    <row r="203">
      <c r="A203" s="22">
        <v>-172.0</v>
      </c>
      <c r="B203" s="22">
        <v>-0.88888</v>
      </c>
      <c r="C203" s="22">
        <v>-0.88888</v>
      </c>
    </row>
    <row r="204">
      <c r="A204" s="22">
        <v>-174.0</v>
      </c>
      <c r="B204" s="22">
        <v>-0.89878</v>
      </c>
      <c r="C204" s="22">
        <v>-0.89878</v>
      </c>
    </row>
    <row r="205">
      <c r="A205" s="22">
        <v>-176.0</v>
      </c>
      <c r="B205" s="22">
        <v>-0.90891</v>
      </c>
      <c r="C205" s="22">
        <v>-0.90891</v>
      </c>
    </row>
    <row r="206">
      <c r="A206" s="22">
        <v>-178.0</v>
      </c>
      <c r="B206" s="22">
        <v>-0.91926</v>
      </c>
      <c r="C206" s="22">
        <v>-0.91926</v>
      </c>
    </row>
    <row r="207">
      <c r="A207" s="22">
        <v>-180.0</v>
      </c>
      <c r="B207" s="22">
        <v>-0.92985</v>
      </c>
      <c r="C207" s="22">
        <v>-0.92985</v>
      </c>
    </row>
    <row r="208">
      <c r="A208" s="22">
        <v>-182.0</v>
      </c>
      <c r="B208" s="22">
        <v>-0.94067</v>
      </c>
      <c r="C208" s="22">
        <v>-0.94067</v>
      </c>
    </row>
    <row r="209">
      <c r="A209" s="22">
        <v>-184.0</v>
      </c>
      <c r="B209" s="22">
        <v>-0.95173</v>
      </c>
      <c r="C209" s="22">
        <v>-0.95173</v>
      </c>
    </row>
    <row r="210">
      <c r="A210" s="22">
        <v>-186.0</v>
      </c>
      <c r="B210" s="22">
        <v>-0.96303</v>
      </c>
      <c r="C210" s="22">
        <v>-0.96303</v>
      </c>
    </row>
    <row r="211">
      <c r="A211" s="22">
        <v>-188.0</v>
      </c>
      <c r="B211" s="22">
        <v>-0.97458</v>
      </c>
      <c r="C211" s="22">
        <v>-0.97458</v>
      </c>
    </row>
    <row r="212">
      <c r="A212" s="22">
        <v>-190.0</v>
      </c>
      <c r="B212" s="22">
        <v>-0.98639</v>
      </c>
      <c r="C212" s="22">
        <v>-0.98639</v>
      </c>
    </row>
    <row r="213">
      <c r="A213" s="22">
        <v>-192.0</v>
      </c>
      <c r="B213" s="22">
        <v>-0.99845</v>
      </c>
      <c r="C213" s="22">
        <v>-0.99845</v>
      </c>
    </row>
    <row r="214">
      <c r="A214" s="22">
        <v>-194.0</v>
      </c>
      <c r="B214" s="22">
        <v>-1.01078</v>
      </c>
      <c r="C214" s="22">
        <v>-1.01078</v>
      </c>
    </row>
    <row r="215">
      <c r="A215" s="22">
        <v>-196.0</v>
      </c>
      <c r="B215" s="22">
        <v>-1.02337</v>
      </c>
      <c r="C215" s="22">
        <v>-1.02337</v>
      </c>
    </row>
    <row r="216">
      <c r="A216" s="22">
        <v>-198.0</v>
      </c>
      <c r="B216" s="22">
        <v>-1.03623</v>
      </c>
      <c r="C216" s="22">
        <v>-1.03623</v>
      </c>
    </row>
    <row r="217">
      <c r="A217" s="22">
        <v>-200.0</v>
      </c>
      <c r="B217" s="22">
        <v>-1.04937</v>
      </c>
      <c r="C217" s="22">
        <v>-1.04937</v>
      </c>
    </row>
    <row r="218">
      <c r="A218" s="22">
        <v>-202.0</v>
      </c>
      <c r="B218" s="22">
        <v>-1.0628</v>
      </c>
      <c r="C218" s="22">
        <v>-1.0628</v>
      </c>
    </row>
    <row r="219">
      <c r="A219" s="22">
        <v>-204.0</v>
      </c>
      <c r="B219" s="22">
        <v>-1.07651</v>
      </c>
      <c r="C219" s="22">
        <v>-1.07651</v>
      </c>
    </row>
    <row r="220">
      <c r="A220" s="22">
        <v>-206.0</v>
      </c>
      <c r="B220" s="22">
        <v>-1.09051</v>
      </c>
      <c r="C220" s="22">
        <v>-1.09051</v>
      </c>
    </row>
    <row r="221">
      <c r="A221" s="22">
        <v>-208.0</v>
      </c>
      <c r="B221" s="22">
        <v>-1.10482</v>
      </c>
      <c r="C221" s="22">
        <v>-1.10482</v>
      </c>
    </row>
    <row r="222">
      <c r="A222" s="22">
        <v>-210.0</v>
      </c>
      <c r="B222" s="22">
        <v>-1.11943</v>
      </c>
      <c r="C222" s="22">
        <v>-1.11943</v>
      </c>
    </row>
    <row r="223">
      <c r="A223" s="22">
        <v>-212.0</v>
      </c>
      <c r="B223" s="22">
        <v>-1.13435</v>
      </c>
      <c r="C223" s="22">
        <v>-1.13435</v>
      </c>
    </row>
    <row r="224">
      <c r="A224" s="22">
        <v>-214.0</v>
      </c>
      <c r="B224" s="22">
        <v>-1.14958</v>
      </c>
      <c r="C224" s="22">
        <v>-1.14958</v>
      </c>
    </row>
    <row r="225">
      <c r="A225" s="22">
        <v>-216.0</v>
      </c>
      <c r="B225" s="22">
        <v>-1.16515</v>
      </c>
      <c r="C225" s="22">
        <v>-1.16515</v>
      </c>
    </row>
    <row r="226">
      <c r="A226" s="22">
        <v>-218.0</v>
      </c>
      <c r="B226" s="22">
        <v>-1.18104</v>
      </c>
      <c r="C226" s="22">
        <v>-1.18104</v>
      </c>
    </row>
    <row r="227">
      <c r="A227" s="22">
        <v>-220.0</v>
      </c>
      <c r="B227" s="22">
        <v>-1.19727</v>
      </c>
      <c r="C227" s="22">
        <v>-1.19727</v>
      </c>
    </row>
    <row r="228">
      <c r="A228" s="22">
        <v>-222.0</v>
      </c>
      <c r="B228" s="22">
        <v>-1.21385</v>
      </c>
      <c r="C228" s="22">
        <v>-1.21385</v>
      </c>
    </row>
    <row r="229">
      <c r="A229" s="22">
        <v>-224.0</v>
      </c>
      <c r="B229" s="22">
        <v>-1.23078</v>
      </c>
      <c r="C229" s="22">
        <v>-1.23078</v>
      </c>
    </row>
    <row r="230">
      <c r="A230" s="22">
        <v>-226.0</v>
      </c>
      <c r="B230" s="22">
        <v>-1.24806</v>
      </c>
      <c r="C230" s="22">
        <v>-1.24806</v>
      </c>
    </row>
    <row r="231">
      <c r="A231" s="22">
        <v>-228.0</v>
      </c>
      <c r="B231" s="22">
        <v>-1.26572</v>
      </c>
      <c r="C231" s="22">
        <v>-1.26572</v>
      </c>
    </row>
  </sheetData>
  <mergeCells count="1">
    <mergeCell ref="A1:B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">
        <v>56.0</v>
      </c>
      <c r="B1" s="22">
        <v>-50.2957</v>
      </c>
    </row>
    <row r="2">
      <c r="A2" s="22">
        <v>54.0</v>
      </c>
      <c r="B2" s="22">
        <v>-47.3986</v>
      </c>
    </row>
    <row r="3">
      <c r="A3" s="22">
        <v>52.0</v>
      </c>
      <c r="B3" s="22">
        <v>-44.765</v>
      </c>
    </row>
    <row r="4">
      <c r="A4" s="22">
        <v>50.0</v>
      </c>
      <c r="B4" s="22">
        <v>-42.3275</v>
      </c>
    </row>
    <row r="5">
      <c r="A5" s="22">
        <v>48.0</v>
      </c>
      <c r="B5" s="22">
        <v>-40.0425</v>
      </c>
    </row>
    <row r="6">
      <c r="A6" s="22">
        <v>46.0</v>
      </c>
      <c r="B6" s="22">
        <v>-37.88</v>
      </c>
    </row>
    <row r="7">
      <c r="A7" s="22">
        <v>44.0</v>
      </c>
      <c r="B7" s="22">
        <v>-35.8182</v>
      </c>
    </row>
    <row r="8">
      <c r="A8" s="22">
        <v>42.0</v>
      </c>
      <c r="B8" s="22">
        <v>-33.8407</v>
      </c>
    </row>
    <row r="9">
      <c r="A9" s="22">
        <v>40.0</v>
      </c>
      <c r="B9" s="22">
        <v>-31.9349</v>
      </c>
    </row>
    <row r="10">
      <c r="A10" s="22">
        <v>38.0</v>
      </c>
      <c r="B10" s="22">
        <v>-30.0906</v>
      </c>
    </row>
    <row r="11">
      <c r="A11" s="22">
        <v>36.0</v>
      </c>
      <c r="B11" s="22">
        <v>-28.2998</v>
      </c>
    </row>
    <row r="12">
      <c r="A12" s="22">
        <v>34.0</v>
      </c>
      <c r="B12" s="22">
        <v>-26.5556</v>
      </c>
    </row>
    <row r="13">
      <c r="A13" s="22">
        <v>32.0</v>
      </c>
      <c r="B13" s="22">
        <v>-24.8524</v>
      </c>
    </row>
    <row r="14">
      <c r="A14" s="22">
        <v>30.0</v>
      </c>
      <c r="B14" s="22">
        <v>-23.1855</v>
      </c>
    </row>
    <row r="15">
      <c r="A15" s="22">
        <v>28.0</v>
      </c>
      <c r="B15" s="22">
        <v>-21.5508</v>
      </c>
    </row>
    <row r="16">
      <c r="A16" s="22">
        <v>26.0</v>
      </c>
      <c r="B16" s="22">
        <v>-19.9447</v>
      </c>
    </row>
    <row r="17">
      <c r="A17" s="22">
        <v>24.0</v>
      </c>
      <c r="B17" s="22">
        <v>-18.3642</v>
      </c>
    </row>
    <row r="18">
      <c r="A18" s="22">
        <v>22.0</v>
      </c>
      <c r="B18" s="22">
        <v>-16.8064</v>
      </c>
    </row>
    <row r="19">
      <c r="A19" s="22">
        <v>20.0</v>
      </c>
      <c r="B19" s="22">
        <v>-15.2689</v>
      </c>
    </row>
    <row r="20">
      <c r="A20" s="22">
        <v>18.0</v>
      </c>
      <c r="B20" s="22">
        <v>-13.7496</v>
      </c>
    </row>
    <row r="21">
      <c r="A21" s="22">
        <v>16.0</v>
      </c>
      <c r="B21" s="22">
        <v>-12.2465</v>
      </c>
    </row>
    <row r="22">
      <c r="A22" s="22">
        <v>14.0</v>
      </c>
      <c r="B22" s="22">
        <v>-10.7577</v>
      </c>
    </row>
    <row r="23">
      <c r="A23" s="22">
        <v>12.0</v>
      </c>
      <c r="B23" s="22">
        <v>-9.28175</v>
      </c>
    </row>
    <row r="24">
      <c r="A24" s="22">
        <v>10.0</v>
      </c>
      <c r="B24" s="22">
        <v>-7.81703</v>
      </c>
    </row>
    <row r="25">
      <c r="A25" s="22">
        <v>8.0</v>
      </c>
      <c r="B25" s="22">
        <v>-6.36215</v>
      </c>
    </row>
    <row r="26">
      <c r="A26" s="22">
        <v>6.0</v>
      </c>
      <c r="B26" s="22">
        <v>-4.91583</v>
      </c>
    </row>
    <row r="27">
      <c r="A27" s="22">
        <v>4.0</v>
      </c>
      <c r="B27" s="22">
        <v>-3.47685</v>
      </c>
    </row>
    <row r="28">
      <c r="A28" s="22">
        <v>2.0</v>
      </c>
      <c r="B28" s="22">
        <v>-2.04406</v>
      </c>
    </row>
    <row r="29">
      <c r="A29" s="22">
        <v>0.0</v>
      </c>
      <c r="B29" s="22">
        <v>-0.61638</v>
      </c>
    </row>
    <row r="30">
      <c r="A30" s="22">
        <v>-2.0</v>
      </c>
      <c r="B30" s="22">
        <v>0.807224</v>
      </c>
    </row>
    <row r="31">
      <c r="A31" s="22">
        <v>-4.0</v>
      </c>
      <c r="B31" s="22">
        <v>2.227747</v>
      </c>
    </row>
    <row r="32">
      <c r="A32" s="22">
        <v>-6.0</v>
      </c>
      <c r="B32" s="22">
        <v>3.64614</v>
      </c>
    </row>
    <row r="33">
      <c r="A33" s="22">
        <v>-8.0</v>
      </c>
      <c r="B33" s="22">
        <v>5.063324</v>
      </c>
    </row>
    <row r="34">
      <c r="A34" s="22">
        <v>-10.0</v>
      </c>
      <c r="B34" s="22">
        <v>6.4802</v>
      </c>
    </row>
    <row r="35">
      <c r="A35" s="22">
        <v>-12.0</v>
      </c>
      <c r="B35" s="22">
        <v>7.897646</v>
      </c>
    </row>
    <row r="36">
      <c r="A36" s="22">
        <v>-14.0</v>
      </c>
      <c r="B36" s="22">
        <v>9.31653</v>
      </c>
    </row>
    <row r="37">
      <c r="A37" s="22">
        <v>-16.0</v>
      </c>
      <c r="B37" s="22">
        <v>10.73771</v>
      </c>
    </row>
    <row r="38">
      <c r="A38" s="22">
        <v>-18.0</v>
      </c>
      <c r="B38" s="22">
        <v>12.16204</v>
      </c>
    </row>
    <row r="39">
      <c r="A39" s="22">
        <v>-20.0</v>
      </c>
      <c r="B39" s="22">
        <v>13.59037</v>
      </c>
    </row>
    <row r="40">
      <c r="A40" s="22">
        <v>-22.0</v>
      </c>
      <c r="B40" s="22">
        <v>15.02356</v>
      </c>
    </row>
    <row r="41">
      <c r="A41" s="22">
        <v>-24.0</v>
      </c>
      <c r="B41" s="22">
        <v>16.46248</v>
      </c>
    </row>
    <row r="42">
      <c r="A42" s="22">
        <v>-26.0</v>
      </c>
      <c r="B42" s="22">
        <v>17.90802</v>
      </c>
    </row>
    <row r="43">
      <c r="A43" s="22">
        <v>-28.0</v>
      </c>
      <c r="B43" s="22">
        <v>19.36108</v>
      </c>
    </row>
    <row r="44">
      <c r="A44" s="22">
        <v>-30.0</v>
      </c>
      <c r="B44" s="22">
        <v>20.82258</v>
      </c>
    </row>
    <row r="45">
      <c r="A45" s="22">
        <v>-32.0</v>
      </c>
      <c r="B45" s="22">
        <v>22.2935</v>
      </c>
    </row>
    <row r="46">
      <c r="A46" s="22">
        <v>-34.0</v>
      </c>
      <c r="B46" s="22">
        <v>23.77482</v>
      </c>
    </row>
    <row r="47">
      <c r="A47" s="22">
        <v>-36.0</v>
      </c>
      <c r="B47" s="22">
        <v>25.26758</v>
      </c>
    </row>
    <row r="48">
      <c r="A48" s="22">
        <v>-38.0</v>
      </c>
      <c r="B48" s="22">
        <v>26.77289</v>
      </c>
    </row>
    <row r="49">
      <c r="A49" s="22">
        <v>-40.0</v>
      </c>
      <c r="B49" s="22">
        <v>28.29188</v>
      </c>
    </row>
    <row r="50">
      <c r="A50" s="22">
        <v>-42.0</v>
      </c>
      <c r="B50" s="22">
        <v>29.82578</v>
      </c>
    </row>
    <row r="51">
      <c r="A51" s="22">
        <v>-44.0</v>
      </c>
      <c r="B51" s="22">
        <v>31.37589</v>
      </c>
    </row>
    <row r="52">
      <c r="A52" s="22">
        <v>-46.0</v>
      </c>
      <c r="B52" s="22">
        <v>32.94361</v>
      </c>
    </row>
    <row r="53">
      <c r="A53" s="22">
        <v>-48.0</v>
      </c>
      <c r="B53" s="22">
        <v>34.53043</v>
      </c>
    </row>
    <row r="54">
      <c r="A54" s="22">
        <v>-50.0</v>
      </c>
      <c r="B54" s="22">
        <v>36.13799</v>
      </c>
    </row>
    <row r="55">
      <c r="A55" s="22">
        <v>-52.0</v>
      </c>
      <c r="B55" s="22">
        <v>37.76804</v>
      </c>
    </row>
    <row r="56">
      <c r="A56" s="22">
        <v>-54.0</v>
      </c>
      <c r="B56" s="22">
        <v>39.42252</v>
      </c>
    </row>
    <row r="57">
      <c r="A57" s="22">
        <v>-56.0</v>
      </c>
      <c r="B57" s="22">
        <v>41.10358</v>
      </c>
    </row>
  </sheetData>
  <drawing r:id="rId1"/>
</worksheet>
</file>